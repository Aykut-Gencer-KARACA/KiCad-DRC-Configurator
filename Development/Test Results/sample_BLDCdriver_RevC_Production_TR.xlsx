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BOM" sheetId="2" r:id="rId2"/>
    <sheet name="CPL" sheetId="3" r:id="rId3"/>
  </sheets>
  <definedNames>
    <definedName name="_xlnm._FilterDatabase" localSheetId="1" hidden="1">BOM!$A$4:$R$44</definedName>
    <definedName name="_xlnm._FilterDatabase" localSheetId="2" hidden="1">CPL!$A$4:$G$114</definedName>
    <definedName name="_xlnm.Print_Titles" localSheetId="1">BOM!$4:$4</definedName>
    <definedName name="_xlnm.Print_Titles" localSheetId="2">CPL!$4:$4</definedName>
  </definedNames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&quot;$&quot;#,##0.00"/>
    <numFmt numFmtId="166" formatCode="0.000"/>
  </numFmts>
  <fonts count="14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8"/>
      <color rgb="FF18202E"/>
      <name val="Calibri"/>
      <family val="2"/>
    </font>
    <font>
      <sz val="10"/>
      <color rgb="FF6B7280"/>
      <name val="Calibri"/>
      <family val="2"/>
    </font>
    <font>
      <b/>
      <sz val="11"/>
      <color rgb="FF1F2937"/>
      <name val="Calibri"/>
      <family val="2"/>
    </font>
    <font>
      <u/>
      <sz val="11"/>
      <color rgb="FF2563EB"/>
      <name val="Calibri"/>
      <family val="2"/>
    </font>
    <font>
      <i/>
      <sz val="10"/>
      <color rgb="FFB7791F"/>
      <name val="Calibri"/>
      <family val="2"/>
    </font>
    <font>
      <b/>
      <sz val="10"/>
      <color rgb="FF15803D"/>
      <name val="Calibri"/>
      <family val="2"/>
    </font>
    <font>
      <b/>
      <sz val="10"/>
      <color rgb="FFC2410C"/>
      <name val="Calibri"/>
      <family val="2"/>
    </font>
    <font>
      <b/>
      <sz val="10"/>
      <color rgb="FF0369A1"/>
      <name val="Calibri"/>
      <family val="2"/>
    </font>
    <font>
      <b/>
      <sz val="11"/>
      <color rgb="FFB91C1C"/>
      <name val="Calibri"/>
      <family val="2"/>
    </font>
    <font>
      <i/>
      <sz val="11"/>
      <color rgb="FF9CA3AF"/>
      <name val="Calibri"/>
      <family val="2"/>
    </font>
    <font>
      <b/>
      <sz val="13"/>
      <color rgb="FF1E3A8A"/>
      <name val="Calibri"/>
      <family val="2"/>
    </font>
    <font>
      <b/>
      <sz val="14"/>
      <color rgb="FF1E3A8A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1E3A8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/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2" fillId="0" borderId="2" xfId="0" applyFont="1" applyBorder="1" applyAlignment="1">
      <alignment vertical="bottom"/>
    </xf>
    <xf numFmtId="0" fontId="11" fillId="0" borderId="1" xfId="0" applyFont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300" b="1"/>
            </a:pPr>
            <a:r>
              <a:rPr lang="en-US" sz="1300" b="1">
                <a:solidFill>
                  <a:srgbClr val="18202E"/>
                </a:solidFill>
              </a:rPr>
              <a:t>Kategoriye göre parça adedi (kart başı)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Adet</c:v>
          </c:tx>
          <c:spPr>
            <a:solidFill>
              <a:srgbClr val="2563EB"/>
            </a:solidFill>
          </c:spPr>
          <c:invertIfNegative val="0"/>
          <c:dLbls>
            <c:txPr>
              <a:bodyPr/>
              <a:lstStyle/>
              <a:p>
                <a:pPr>
                  <a:defRPr sz="1000">
                    <a:solidFill>
                      <a:srgbClr val="37415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'Özet'!$A$48:$A$57</c:f>
              <c:strCache>
                <c:ptCount val="10"/>
                <c:pt idx="0">
                  <c:v>Kondansatör</c:v>
                </c:pt>
                <c:pt idx="1">
                  <c:v>Direnç</c:v>
                </c:pt>
                <c:pt idx="2">
                  <c:v>Transistör / MOSFET</c:v>
                </c:pt>
                <c:pt idx="3">
                  <c:v>Entegre</c:v>
                </c:pt>
                <c:pt idx="4">
                  <c:v>Diyot / LED</c:v>
                </c:pt>
                <c:pt idx="5">
                  <c:v>Sigorta</c:v>
                </c:pt>
                <c:pt idx="6">
                  <c:v>Ferrit</c:v>
                </c:pt>
                <c:pt idx="7">
                  <c:v>Bobin</c:v>
                </c:pt>
                <c:pt idx="8">
                  <c:v>Anahtar / röle</c:v>
                </c:pt>
                <c:pt idx="9">
                  <c:v>Kristal / osilatör</c:v>
                </c:pt>
              </c:strCache>
            </c:strRef>
          </c:cat>
          <c:val>
            <c:numRef>
              <c:f>'Özet'!$C$48:$C$57</c:f>
              <c:numCache>
                <c:formatCode>General</c:formatCode>
                <c:ptCount val="10"/>
                <c:pt idx="0">
                  <c:v>46</c:v>
                </c:pt>
                <c:pt idx="1">
                  <c:v>40</c:v>
                </c:pt>
                <c:pt idx="2">
                  <c:v>8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55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>
                <a:solidFill>
                  <a:srgbClr val="374151"/>
                </a:solidFill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t"/>
        <c:majorGridlines>
          <c:spPr>
            <a:ln w="6350">
              <a:solidFill>
                <a:srgbClr val="E5E7EB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>
                <a:solidFill>
                  <a:srgbClr val="374151"/>
                </a:solidFill>
              </a:defRPr>
            </a:pPr>
            <a:endParaRPr lang="en-US"/>
          </a:p>
        </c:txPr>
        <c:crossAx val="50010"/>
        <c:crosses val="max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E5E7EB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300" b="1"/>
            </a:pPr>
            <a:r>
              <a:rPr lang="en-US" sz="1300" b="1">
                <a:solidFill>
                  <a:srgbClr val="18202E"/>
                </a:solidFill>
              </a:rPr>
              <a:t>JLC parça tipi (çeşit)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Çeşit (BOM satırı)</c:v>
          </c:tx>
          <c:dPt>
            <c:idx val="0"/>
            <c:bubble3D val="0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1000">
                    <a:solidFill>
                      <a:srgbClr val="37415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'Özet'!$A$63:$A$65</c:f>
              <c:strCache>
                <c:ptCount val="3"/>
                <c:pt idx="0">
                  <c:v>Basic</c:v>
                </c:pt>
                <c:pt idx="1">
                  <c:v>Preferred</c:v>
                </c:pt>
                <c:pt idx="2">
                  <c:v>Extended</c:v>
                </c:pt>
              </c:strCache>
            </c:strRef>
          </c:cat>
          <c:val>
            <c:numRef>
              <c:f>'Özet'!$B$63:$B$65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31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overlay val="0"/>
      <c:txPr>
        <a:bodyPr/>
        <a:lstStyle/>
        <a:p>
          <a:pPr>
            <a:defRPr sz="1000">
              <a:solidFill>
                <a:srgbClr val="374151"/>
              </a:solidFill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5E7EB"/>
      </a:solidFill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ategor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Part typ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/>
  <cols>
    <col min="1" max="1" width="38" customWidth="1"/>
    <col min="2" max="2" width="20" customWidth="1"/>
    <col min="3" max="3" width="18" customWidth="1"/>
    <col min="4" max="4" width="30" customWidth="1"/>
  </cols>
  <sheetData>
    <row r="1" ht="36" customHeight="1">
      <c r="A1" s="4" t="inlineStr">
        <is>
          <t xml:space="preserve">BLDCdriver  ·  Üretim Özeti</t>
        </is>
      </c>
    </row>
    <row r="2">
      <c r="A2" s="12" t="inlineStr">
        <is>
          <t xml:space="preserve">Rev C  ·  2026-10-09 14:05  ·  KiCad DRC Ayarlayıcı  ·  Aykut Gencer Karaca</t>
        </is>
      </c>
    </row>
    <row r="3" ht="10" customHeight="1"/>
    <row r="4" ht="26" customHeight="1">
      <c r="A4" s="27" t="inlineStr">
        <is>
          <t xml:space="preserve">Proje bilgileri</t>
        </is>
      </c>
      <c r="B4" s="27" t="inlineStr">
        <is>
          <t xml:space="preserve"/>
        </is>
      </c>
      <c r="C4" s="27" t="inlineStr">
        <is>
          <t xml:space="preserve"/>
        </is>
      </c>
      <c r="D4" s="27" t="inlineStr">
        <is>
          <t xml:space="preserve"/>
        </is>
      </c>
    </row>
    <row r="5" ht="6" customHeight="1"/>
    <row r="6" ht="20" customHeight="1">
      <c r="A6" s="8" t="inlineStr">
        <is>
          <t xml:space="preserve">Proje</t>
        </is>
      </c>
      <c r="B6" s="9" t="inlineStr">
        <is>
          <t xml:space="preserve">BLDCdriver</t>
        </is>
      </c>
      <c r="C6" s="9" t="inlineStr">
        <is>
          <t xml:space="preserve"/>
        </is>
      </c>
      <c r="D6" s="9" t="inlineStr">
        <is>
          <t xml:space="preserve"/>
        </is>
      </c>
    </row>
    <row r="7" ht="20" customHeight="1">
      <c r="A7" s="8" t="inlineStr">
        <is>
          <t xml:space="preserve">Revizyon</t>
        </is>
      </c>
      <c r="B7" s="9" t="inlineStr">
        <is>
          <t xml:space="preserve">C</t>
        </is>
      </c>
      <c r="C7" s="9" t="inlineStr">
        <is>
          <t xml:space="preserve"/>
        </is>
      </c>
      <c r="D7" s="9" t="inlineStr">
        <is>
          <t xml:space="preserve"/>
        </is>
      </c>
    </row>
    <row r="8" ht="20" customHeight="1">
      <c r="A8" s="8" t="inlineStr">
        <is>
          <t xml:space="preserve">Tarih</t>
        </is>
      </c>
      <c r="B8" s="9" t="inlineStr">
        <is>
          <t xml:space="preserve">2026-10-09 14:05</t>
        </is>
      </c>
      <c r="C8" s="9" t="inlineStr">
        <is>
          <t xml:space="preserve"/>
        </is>
      </c>
      <c r="D8" s="9" t="inlineStr">
        <is>
          <t xml:space="preserve"/>
        </is>
      </c>
    </row>
    <row r="9" ht="20" customHeight="1">
      <c r="A9" s="8" t="inlineStr">
        <is>
          <t xml:space="preserve">Hazırlayan</t>
        </is>
      </c>
      <c r="B9" s="9" t="inlineStr">
        <is>
          <t xml:space="preserve">Aykut Gencer Karaca</t>
        </is>
      </c>
      <c r="C9" s="9" t="inlineStr">
        <is>
          <t xml:space="preserve"/>
        </is>
      </c>
      <c r="D9" s="9" t="inlineStr">
        <is>
          <t xml:space="preserve"/>
        </is>
      </c>
    </row>
    <row r="10" ht="20" customHeight="1">
      <c r="A10" s="8" t="inlineStr">
        <is>
          <t xml:space="preserve">Kart adedi</t>
        </is>
      </c>
      <c r="B10" s="9" t="inlineStr">
        <is>
          <t xml:space="preserve">5 adet  (maliyet ve stok kontrolü bu adede göre)</t>
        </is>
      </c>
      <c r="C10" s="9" t="inlineStr">
        <is>
          <t xml:space="preserve"/>
        </is>
      </c>
      <c r="D10" s="9" t="inlineStr">
        <is>
          <t xml:space="preserve"/>
        </is>
      </c>
    </row>
    <row r="11" ht="20" customHeight="1">
      <c r="A11" s="8" t="inlineStr">
        <is>
          <t xml:space="preserve">Proje klasörü</t>
        </is>
      </c>
      <c r="B11" s="9" t="inlineStr">
        <is>
          <t xml:space="preserve">C:\Projects\BLDC-Driver\RevC</t>
        </is>
      </c>
      <c r="C11" s="9" t="inlineStr">
        <is>
          <t xml:space="preserve"/>
        </is>
      </c>
      <c r="D11" s="9" t="inlineStr">
        <is>
          <t xml:space="preserve"/>
        </is>
      </c>
    </row>
    <row r="12" ht="10" customHeight="1"/>
    <row r="13" ht="26" customHeight="1">
      <c r="A13" s="27" t="inlineStr">
        <is>
          <t xml:space="preserve">JLCPCB sipariş formu</t>
        </is>
      </c>
      <c r="B13" s="27" t="inlineStr">
        <is>
          <t xml:space="preserve"/>
        </is>
      </c>
      <c r="C13" s="27" t="inlineStr">
        <is>
          <t xml:space="preserve"/>
        </is>
      </c>
      <c r="D13" s="27" t="inlineStr">
        <is>
          <t xml:space="preserve"/>
        </is>
      </c>
    </row>
    <row r="14" ht="6" customHeight="1"/>
    <row r="15" ht="20" customHeight="1">
      <c r="A15" s="8" t="inlineStr">
        <is>
          <t xml:space="preserve">Katman (Layers)</t>
        </is>
      </c>
      <c r="B15" s="9" t="inlineStr">
        <is>
          <t xml:space="preserve">6</t>
        </is>
      </c>
      <c r="C15" s="9" t="inlineStr">
        <is>
          <t xml:space="preserve"/>
        </is>
      </c>
      <c r="D15" s="9" t="inlineStr">
        <is>
          <t xml:space="preserve"/>
        </is>
      </c>
    </row>
    <row r="16" ht="20" customHeight="1">
      <c r="A16" s="8" t="inlineStr">
        <is>
          <t xml:space="preserve">Kalınlık (PCB Thickness)</t>
        </is>
      </c>
      <c r="B16" s="9" t="inlineStr">
        <is>
          <t xml:space="preserve">1.6 mm</t>
        </is>
      </c>
      <c r="C16" s="9" t="inlineStr">
        <is>
          <t xml:space="preserve"/>
        </is>
      </c>
      <c r="D16" s="9" t="inlineStr">
        <is>
          <t xml:space="preserve"/>
        </is>
      </c>
    </row>
    <row r="17" ht="20" customHeight="1">
      <c r="A17" s="8" t="inlineStr">
        <is>
          <t xml:space="preserve">Dış bakır (Outer Copper)</t>
        </is>
      </c>
      <c r="B17" s="9" t="inlineStr">
        <is>
          <t xml:space="preserve">1 oz</t>
        </is>
      </c>
      <c r="C17" s="9" t="inlineStr">
        <is>
          <t xml:space="preserve"/>
        </is>
      </c>
      <c r="D17" s="9" t="inlineStr">
        <is>
          <t xml:space="preserve"/>
        </is>
      </c>
    </row>
    <row r="18" ht="20" customHeight="1">
      <c r="A18" s="8" t="inlineStr">
        <is>
          <t xml:space="preserve">İç bakır (Inner Copper)</t>
        </is>
      </c>
      <c r="B18" s="9" t="inlineStr">
        <is>
          <t xml:space="preserve">0.5 oz</t>
        </is>
      </c>
      <c r="C18" s="9" t="inlineStr">
        <is>
          <t xml:space="preserve"/>
        </is>
      </c>
      <c r="D18" s="9" t="inlineStr">
        <is>
          <t xml:space="preserve"/>
        </is>
      </c>
    </row>
    <row r="19" ht="20" customHeight="1">
      <c r="A19" s="8" t="inlineStr">
        <is>
          <t xml:space="preserve">Stackup (Impedance / Layer Stackup)</t>
        </is>
      </c>
      <c r="B19" s="9" t="inlineStr">
        <is>
          <t xml:space="preserve">JLC06161H-3313</t>
        </is>
      </c>
      <c r="C19" s="9" t="inlineStr">
        <is>
          <t xml:space="preserve"/>
        </is>
      </c>
      <c r="D19" s="9" t="inlineStr">
        <is>
          <t xml:space="preserve"/>
        </is>
      </c>
    </row>
    <row r="20" ht="20" customHeight="1">
      <c r="A20" s="8" t="inlineStr">
        <is>
          <t xml:space="preserve">Maske rengi (PCB Color)</t>
        </is>
      </c>
      <c r="B20" s="9" t="inlineStr">
        <is>
          <t xml:space="preserve">Yeşil (Green)</t>
        </is>
      </c>
      <c r="C20" s="9" t="inlineStr">
        <is>
          <t xml:space="preserve"/>
        </is>
      </c>
      <c r="D20" s="9" t="inlineStr">
        <is>
          <t xml:space="preserve"/>
        </is>
      </c>
    </row>
    <row r="21" ht="20" customHeight="1">
      <c r="A21" s="8" t="inlineStr">
        <is>
          <t xml:space="preserve">Yüzey (Surface Finish)</t>
        </is>
      </c>
      <c r="B21" s="9" t="inlineStr">
        <is>
          <t xml:space="preserve">ENIG</t>
        </is>
      </c>
      <c r="C21" s="9" t="inlineStr">
        <is>
          <t xml:space="preserve"/>
        </is>
      </c>
      <c r="D21" s="9" t="inlineStr">
        <is>
          <t xml:space="preserve"/>
        </is>
      </c>
    </row>
    <row r="22" ht="20" customHeight="1">
      <c r="A22" s="8" t="inlineStr">
        <is>
          <t xml:space="preserve">Via</t>
        </is>
      </c>
      <c r="B22" s="9" t="inlineStr">
        <is>
          <t xml:space="preserve">Epoxy Filled &amp; Capped (6+ katmanda varsayılan)</t>
        </is>
      </c>
      <c r="C22" s="9" t="inlineStr">
        <is>
          <t xml:space="preserve"/>
        </is>
      </c>
      <c r="D22" s="9" t="inlineStr">
        <is>
          <t xml:space="preserve"/>
        </is>
      </c>
    </row>
    <row r="23" ht="20" customHeight="1">
      <c r="A23" s="8" t="inlineStr">
        <is>
          <t xml:space="preserve">Min iz / aralık</t>
        </is>
      </c>
      <c r="B23" s="9" t="inlineStr">
        <is>
          <t xml:space="preserve">0.14 mm / 0.14 mm</t>
        </is>
      </c>
      <c r="C23" s="9" t="inlineStr">
        <is>
          <t xml:space="preserve"/>
        </is>
      </c>
      <c r="D23" s="9" t="inlineStr">
        <is>
          <t xml:space="preserve"/>
        </is>
      </c>
    </row>
    <row r="24" ht="20" customHeight="1">
      <c r="A24" s="8" t="inlineStr">
        <is>
          <t xml:space="preserve">Min delik / via çapı</t>
        </is>
      </c>
      <c r="B24" s="9" t="inlineStr">
        <is>
          <t xml:space="preserve">0.25 mm / 0.5 mm</t>
        </is>
      </c>
      <c r="C24" s="9" t="inlineStr">
        <is>
          <t xml:space="preserve"/>
        </is>
      </c>
      <c r="D24" s="9" t="inlineStr">
        <is>
          <t xml:space="preserve"/>
        </is>
      </c>
    </row>
    <row r="25" ht="20" customHeight="1">
      <c r="A25" s="8" t="inlineStr">
        <is>
          <t xml:space="preserve">Gerber paketi</t>
        </is>
      </c>
      <c r="B25" s="9" t="inlineStr">
        <is>
          <t xml:space="preserve">BLDCdriver_RevC_Gerber.zip</t>
        </is>
      </c>
      <c r="C25" s="9" t="inlineStr">
        <is>
          <t xml:space="preserve"/>
        </is>
      </c>
      <c r="D25" s="9" t="inlineStr">
        <is>
          <t xml:space="preserve"/>
        </is>
      </c>
    </row>
    <row r="26" ht="20" customHeight="1">
      <c r="A26" s="8" t="inlineStr">
        <is>
          <t xml:space="preserve">BOM / CPL (montaj)</t>
        </is>
      </c>
      <c r="B26" s="9" t="inlineStr">
        <is>
          <t xml:space="preserve">BLDCdriver_RevC_BOM_JLC.csv  /  BLDCdriver_RevC_CPL_JLC.csv</t>
        </is>
      </c>
      <c r="C26" s="9" t="inlineStr">
        <is>
          <t xml:space="preserve"/>
        </is>
      </c>
      <c r="D26" s="9" t="inlineStr">
        <is>
          <t xml:space="preserve"/>
        </is>
      </c>
    </row>
    <row r="27" ht="10" customHeight="1"/>
    <row r="28" ht="26" customHeight="1">
      <c r="A28" s="27" t="inlineStr">
        <is>
          <t xml:space="preserve">JLC montaj maliyeti tahmini  ·  5 kart</t>
        </is>
      </c>
      <c r="B28" s="27" t="inlineStr">
        <is>
          <t xml:space="preserve"/>
        </is>
      </c>
      <c r="C28" s="27" t="inlineStr">
        <is>
          <t xml:space="preserve"/>
        </is>
      </c>
      <c r="D28" s="27" t="inlineStr">
        <is>
          <t xml:space="preserve"/>
        </is>
      </c>
    </row>
    <row r="29" ht="6" customHeight="1"/>
    <row r="30" ht="20" customHeight="1">
      <c r="A30" s="8" t="inlineStr">
        <is>
          <t xml:space="preserve">Montaj tipi</t>
        </is>
      </c>
      <c r="B30" s="9" t="inlineStr">
        <is>
          <t xml:space="preserve">Standard PCBA, iki taraf (alt yüzde parça var)</t>
        </is>
      </c>
      <c r="C30" s="9" t="inlineStr">
        <is>
          <t xml:space="preserve"/>
        </is>
      </c>
      <c r="D30" s="9" t="inlineStr">
        <is>
          <t xml:space="preserve"/>
        </is>
      </c>
    </row>
    <row r="31" ht="20" customHeight="1">
      <c r="A31" s="8" t="inlineStr">
        <is>
          <t xml:space="preserve">Parça maliyeti (5 kart)</t>
        </is>
      </c>
      <c r="B31" s="17">
        <v>81.0425</v>
      </c>
      <c r="C31" s="17" t="inlineStr">
        <is>
          <t xml:space="preserve"/>
        </is>
      </c>
      <c r="D31" s="17" t="inlineStr">
        <is>
          <t xml:space="preserve"/>
        </is>
      </c>
    </row>
    <row r="32" ht="20" customHeight="1">
      <c r="A32" s="8" t="inlineStr">
        <is>
          <t xml:space="preserve">Kart başına parça maliyeti</t>
        </is>
      </c>
      <c r="B32" s="17">
        <v>16.2085</v>
      </c>
      <c r="C32" s="17" t="inlineStr">
        <is>
          <t xml:space="preserve"/>
        </is>
      </c>
      <c r="D32" s="17" t="inlineStr">
        <is>
          <t xml:space="preserve"/>
        </is>
      </c>
    </row>
    <row r="33" ht="20" customHeight="1">
      <c r="A33" s="8" t="inlineStr">
        <is>
          <t xml:space="preserve">Kurulum ücreti (2 × $25.56)</t>
        </is>
      </c>
      <c r="B33" s="17">
        <v>51.12</v>
      </c>
      <c r="C33" s="17" t="inlineStr">
        <is>
          <t xml:space="preserve"/>
        </is>
      </c>
      <c r="D33" s="17" t="inlineStr">
        <is>
          <t xml:space="preserve"/>
        </is>
      </c>
    </row>
    <row r="34" ht="20" customHeight="1">
      <c r="A34" s="8" t="inlineStr">
        <is>
          <t xml:space="preserve">Şablon / stencil (2 taraf)</t>
        </is>
      </c>
      <c r="B34" s="17">
        <v>16.42</v>
      </c>
      <c r="C34" s="17" t="inlineStr">
        <is>
          <t xml:space="preserve"/>
        </is>
      </c>
      <c r="D34" s="17" t="inlineStr">
        <is>
          <t xml:space="preserve"/>
        </is>
      </c>
    </row>
    <row r="35" ht="20" customHeight="1">
      <c r="A35" s="8" t="inlineStr">
        <is>
          <t xml:space="preserve">Parça besleme (40 çeşit × $1.53)</t>
        </is>
      </c>
      <c r="B35" s="17">
        <v>61.2</v>
      </c>
      <c r="C35" s="17" t="inlineStr">
        <is>
          <t xml:space="preserve"/>
        </is>
      </c>
      <c r="D35" s="17" t="inlineStr">
        <is>
          <t xml:space="preserve"/>
        </is>
      </c>
    </row>
    <row r="36" ht="20" customHeight="1">
      <c r="A36" s="8" t="inlineStr">
        <is>
          <t xml:space="preserve">SMT lehim noktası (1835 × $0.0016)</t>
        </is>
      </c>
      <c r="B36" s="17">
        <v>2.936</v>
      </c>
      <c r="C36" s="17" t="inlineStr">
        <is>
          <t xml:space="preserve"/>
        </is>
      </c>
      <c r="D36" s="17" t="inlineStr">
        <is>
          <t xml:space="preserve"/>
        </is>
      </c>
    </row>
    <row r="37" ht="20" customHeight="1">
      <c r="A37" s="8" t="inlineStr">
        <is>
          <t xml:space="preserve">Elle lehim, THT (35 × $0.0164)</t>
        </is>
      </c>
      <c r="B37" s="17">
        <v>0.574</v>
      </c>
      <c r="C37" s="17" t="inlineStr">
        <is>
          <t xml:space="preserve"/>
        </is>
      </c>
      <c r="D37" s="17" t="inlineStr">
        <is>
          <t xml:space="preserve"/>
        </is>
      </c>
    </row>
    <row r="38" ht="20" customHeight="1">
      <c r="A38" s="8" t="inlineStr">
        <is>
          <t xml:space="preserve">Elle lehim işçiliği (sipariş başı)</t>
        </is>
      </c>
      <c r="B38" s="17">
        <v>3.58</v>
      </c>
      <c r="C38" s="17" t="inlineStr">
        <is>
          <t xml:space="preserve"/>
        </is>
      </c>
      <c r="D38" s="17" t="inlineStr">
        <is>
          <t xml:space="preserve"/>
        </is>
      </c>
    </row>
    <row r="39" ht="20" customHeight="1">
      <c r="A39" s="8" t="inlineStr">
        <is>
          <t xml:space="preserve">QFN/DFN/BGA parçalara X-ray (40 × $0.82)</t>
        </is>
      </c>
      <c r="B39" s="17">
        <v>32.8</v>
      </c>
      <c r="C39" s="17" t="inlineStr">
        <is>
          <t xml:space="preserve"/>
        </is>
      </c>
      <c r="D39" s="17" t="inlineStr">
        <is>
          <t xml:space="preserve"/>
        </is>
      </c>
    </row>
    <row r="40" ht="20" customHeight="1">
      <c r="A40" s="8" t="inlineStr">
        <is>
          <t xml:space="preserve">Paketleme (Standard PCBA)</t>
        </is>
      </c>
      <c r="B40" s="17">
        <v>0.5</v>
      </c>
      <c r="C40" s="17" t="inlineStr">
        <is>
          <t xml:space="preserve"/>
        </is>
      </c>
      <c r="D40" s="17" t="inlineStr">
        <is>
          <t xml:space="preserve"/>
        </is>
      </c>
    </row>
    <row r="41" ht="26" customHeight="1">
      <c r="A41" s="8" t="inlineStr">
        <is>
          <t xml:space="preserve">Tahmini montaj toplamı (parça + ücretler, PCB hariç)</t>
        </is>
      </c>
      <c r="B41" s="31">
        <v>250.1725</v>
      </c>
      <c r="C41" s="31" t="inlineStr">
        <is>
          <t xml:space="preserve"/>
        </is>
      </c>
      <c r="D41" s="31" t="inlineStr">
        <is>
          <t xml:space="preserve"/>
        </is>
      </c>
    </row>
    <row r="42" ht="20" customHeight="1">
      <c r="A42" s="8" t="inlineStr">
        <is>
          <t xml:space="preserve">Stoğu yetersiz satır</t>
        </is>
      </c>
      <c r="B42" s="23">
        <v>0</v>
      </c>
      <c r="C42" s="9" t="inlineStr">
        <is>
          <t xml:space="preserve"/>
        </is>
      </c>
      <c r="D42" s="9" t="inlineStr">
        <is>
          <t xml:space="preserve"/>
        </is>
      </c>
    </row>
    <row r="43">
      <c r="A43" s="5" t="inlineStr">
        <is>
          <t xml:space="preserve">Parçalar: JLC parça kütüphanesi (2026-10-09); adet = ihtiyaç + JLC firesi (iki tarafta iki kat), en az JLC'nin alt sınırı; fiyat o adetin kademesi. Ücretler: jlcpcb.com/help/article/pcb-assembly-price (2026-09-09). Dahil değil: PCB, kargo, vergi, kupon ve JLC'nin duruma göre eklediği ücretler (fikstür, pre-reflow lehim, Confirm Parts Placement $0.45, handling fee, tek kart ek ücreti). Son fiyatı JLC'nin teklifi belirler.</t>
        </is>
      </c>
    </row>
    <row r="44" ht="10" customHeight="1"/>
    <row r="45" ht="26" customHeight="1">
      <c r="A45" s="27" t="inlineStr">
        <is>
          <t xml:space="preserve">Parça dağılımı</t>
        </is>
      </c>
      <c r="B45" s="27" t="inlineStr">
        <is>
          <t xml:space="preserve"/>
        </is>
      </c>
      <c r="C45" s="27" t="inlineStr">
        <is>
          <t xml:space="preserve"/>
        </is>
      </c>
      <c r="D45" s="27" t="inlineStr">
        <is>
          <t xml:space="preserve"/>
        </is>
      </c>
    </row>
    <row r="46" ht="6" customHeight="1"/>
    <row r="47" ht="24" customHeight="1">
      <c r="A47" s="1" t="inlineStr">
        <is>
          <t xml:space="preserve">Kategori</t>
        </is>
      </c>
      <c r="B47" s="1" t="inlineStr">
        <is>
          <t xml:space="preserve">Çeşit (BOM satırı)</t>
        </is>
      </c>
      <c r="C47" s="1" t="inlineStr">
        <is>
          <t xml:space="preserve">Adet (kart başı)</t>
        </is>
      </c>
      <c r="D47" s="1" t="inlineStr">
        <is>
          <t xml:space="preserve">Maliyet (5 kart)</t>
        </is>
      </c>
    </row>
    <row r="48">
      <c r="A48" s="2" t="inlineStr">
        <is>
          <t xml:space="preserve">Kondansatör</t>
        </is>
      </c>
      <c r="B48" s="6">
        <v>9</v>
      </c>
      <c r="C48" s="6">
        <v>46</v>
      </c>
      <c r="D48" s="17">
        <v>16.8257</v>
      </c>
    </row>
    <row r="49">
      <c r="A49" s="3" t="inlineStr">
        <is>
          <t xml:space="preserve">Direnç</t>
        </is>
      </c>
      <c r="B49" s="7">
        <v>15</v>
      </c>
      <c r="C49" s="7">
        <v>40</v>
      </c>
      <c r="D49" s="18">
        <v>7.112</v>
      </c>
    </row>
    <row r="50">
      <c r="A50" s="2" t="inlineStr">
        <is>
          <t xml:space="preserve">Transistör / MOSFET</t>
        </is>
      </c>
      <c r="B50" s="6">
        <v>3</v>
      </c>
      <c r="C50" s="6">
        <v>8</v>
      </c>
      <c r="D50" s="17">
        <v>12.088</v>
      </c>
    </row>
    <row r="51">
      <c r="A51" s="3" t="inlineStr">
        <is>
          <t xml:space="preserve">Entegre</t>
        </is>
      </c>
      <c r="B51" s="7">
        <v>6</v>
      </c>
      <c r="C51" s="7">
        <v>8</v>
      </c>
      <c r="D51" s="18">
        <v>40.6187</v>
      </c>
    </row>
    <row r="52">
      <c r="A52" s="2" t="inlineStr">
        <is>
          <t xml:space="preserve">Diyot / LED</t>
        </is>
      </c>
      <c r="B52" s="6">
        <v>2</v>
      </c>
      <c r="C52" s="6">
        <v>3</v>
      </c>
      <c r="D52" s="17">
        <v>0.551</v>
      </c>
    </row>
    <row r="53">
      <c r="A53" s="3" t="inlineStr">
        <is>
          <t xml:space="preserve">Sigorta</t>
        </is>
      </c>
      <c r="B53" s="7">
        <v>1</v>
      </c>
      <c r="C53" s="7">
        <v>1</v>
      </c>
      <c r="D53" s="18">
        <v>0.8577</v>
      </c>
    </row>
    <row r="54">
      <c r="A54" s="2" t="inlineStr">
        <is>
          <t xml:space="preserve">Ferrit</t>
        </is>
      </c>
      <c r="B54" s="6">
        <v>1</v>
      </c>
      <c r="C54" s="6">
        <v>1</v>
      </c>
      <c r="D54" s="17">
        <v>0.8001</v>
      </c>
    </row>
    <row r="55">
      <c r="A55" s="3" t="inlineStr">
        <is>
          <t xml:space="preserve">Bobin</t>
        </is>
      </c>
      <c r="B55" s="7">
        <v>1</v>
      </c>
      <c r="C55" s="7">
        <v>1</v>
      </c>
      <c r="D55" s="18">
        <v>1.17</v>
      </c>
    </row>
    <row r="56">
      <c r="A56" s="2" t="inlineStr">
        <is>
          <t xml:space="preserve">Anahtar / röle</t>
        </is>
      </c>
      <c r="B56" s="6">
        <v>1</v>
      </c>
      <c r="C56" s="6">
        <v>1</v>
      </c>
      <c r="D56" s="17">
        <v>0.3312</v>
      </c>
    </row>
    <row r="57">
      <c r="A57" s="3" t="inlineStr">
        <is>
          <t xml:space="preserve">Kristal / osilatör</t>
        </is>
      </c>
      <c r="B57" s="7">
        <v>1</v>
      </c>
      <c r="C57" s="7">
        <v>1</v>
      </c>
      <c r="D57" s="18">
        <v>0.6881</v>
      </c>
    </row>
    <row r="58" ht="22" customHeight="1">
      <c r="A58" s="8" t="inlineStr">
        <is>
          <t xml:space="preserve">Toplam (JLC dizecek)</t>
        </is>
      </c>
      <c r="B58" s="29">
        <f>SUM(B48:B57)</f>
        <v>40</v>
      </c>
      <c r="C58" s="29">
        <f>SUM(C48:C57)</f>
        <v>110</v>
      </c>
      <c r="D58" s="30">
        <f>SUM(D48:D57)</f>
        <v>81.0425</v>
      </c>
    </row>
    <row r="59" ht="10" customHeight="1"/>
    <row r="60" ht="26" customHeight="1">
      <c r="A60" s="27" t="inlineStr">
        <is>
          <t xml:space="preserve">JLC parça tipi</t>
        </is>
      </c>
      <c r="B60" s="27" t="inlineStr">
        <is>
          <t xml:space="preserve"/>
        </is>
      </c>
      <c r="C60" s="27" t="inlineStr">
        <is>
          <t xml:space="preserve"/>
        </is>
      </c>
      <c r="D60" s="27" t="inlineStr">
        <is>
          <t xml:space="preserve"/>
        </is>
      </c>
    </row>
    <row r="61" ht="6" customHeight="1"/>
    <row r="62" ht="24" customHeight="1">
      <c r="A62" s="1" t="inlineStr">
        <is>
          <t xml:space="preserve">Tip</t>
        </is>
      </c>
      <c r="B62" s="1" t="inlineStr">
        <is>
          <t xml:space="preserve">Çeşit (BOM satırı)</t>
        </is>
      </c>
      <c r="C62" s="1" t="inlineStr">
        <is>
          <t xml:space="preserve">Adet (kart başı)</t>
        </is>
      </c>
      <c r="D62" s="1" t="inlineStr">
        <is>
          <t xml:space="preserve">Montaj ücreti</t>
        </is>
      </c>
    </row>
    <row r="63">
      <c r="A63" s="19" t="inlineStr">
        <is>
          <t xml:space="preserve">Basic</t>
        </is>
      </c>
      <c r="B63" s="6">
        <v>7</v>
      </c>
      <c r="C63" s="6">
        <v>33</v>
      </c>
      <c r="D63" s="2" t="inlineStr">
        <is>
          <t xml:space="preserve">~$1.53 / çeşit</t>
        </is>
      </c>
    </row>
    <row r="64">
      <c r="A64" s="21" t="inlineStr">
        <is>
          <t xml:space="preserve">Preferred</t>
        </is>
      </c>
      <c r="B64" s="6">
        <v>2</v>
      </c>
      <c r="C64" s="6">
        <v>7</v>
      </c>
      <c r="D64" s="2" t="inlineStr">
        <is>
          <t xml:space="preserve">~$1.53 / çeşit</t>
        </is>
      </c>
    </row>
    <row r="65">
      <c r="A65" s="20" t="inlineStr">
        <is>
          <t xml:space="preserve">Extended</t>
        </is>
      </c>
      <c r="B65" s="6">
        <v>31</v>
      </c>
      <c r="C65" s="6">
        <v>70</v>
      </c>
      <c r="D65" s="2" t="inlineStr">
        <is>
          <t xml:space="preserve">~$1.53 / çeşit</t>
        </is>
      </c>
    </row>
    <row r="66" ht="10" customHeight="1"/>
    <row r="67" ht="26" customHeight="1">
      <c r="A67" s="27" t="inlineStr">
        <is>
          <t xml:space="preserve">Onay</t>
        </is>
      </c>
      <c r="B67" s="27" t="inlineStr">
        <is>
          <t xml:space="preserve"/>
        </is>
      </c>
      <c r="C67" s="27" t="inlineStr">
        <is>
          <t xml:space="preserve"/>
        </is>
      </c>
      <c r="D67" s="27" t="inlineStr">
        <is>
          <t xml:space="preserve"/>
        </is>
      </c>
    </row>
    <row r="68" ht="6" customHeight="1"/>
    <row r="69" ht="24" customHeight="1">
      <c r="A69" s="1" t="inlineStr">
        <is>
          <t xml:space="preserve">Görev</t>
        </is>
      </c>
      <c r="B69" s="1" t="inlineStr">
        <is>
          <t xml:space="preserve">Ad Soyad</t>
        </is>
      </c>
      <c r="C69" s="1" t="inlineStr">
        <is>
          <t xml:space="preserve">İmza</t>
        </is>
      </c>
      <c r="D69" s="1" t="inlineStr">
        <is>
          <t xml:space="preserve">Tarih</t>
        </is>
      </c>
    </row>
    <row r="70" ht="30" customHeight="1">
      <c r="A70" s="8" t="inlineStr">
        <is>
          <t xml:space="preserve">Hazırlayan</t>
        </is>
      </c>
      <c r="B70" s="9" t="inlineStr">
        <is>
          <t xml:space="preserve">Aykut Gencer Karaca</t>
        </is>
      </c>
      <c r="C70" s="9" t="inlineStr">
        <is>
          <t xml:space="preserve"/>
        </is>
      </c>
      <c r="D70" s="9" t="inlineStr">
        <is>
          <t xml:space="preserve">2026-10-09</t>
        </is>
      </c>
    </row>
    <row r="71" ht="30" customHeight="1">
      <c r="A71" s="8" t="inlineStr">
        <is>
          <t xml:space="preserve">Kontrol eden</t>
        </is>
      </c>
      <c r="B71" s="9" t="inlineStr">
        <is>
          <t xml:space="preserve"/>
        </is>
      </c>
      <c r="C71" s="9" t="inlineStr">
        <is>
          <t xml:space="preserve"/>
        </is>
      </c>
      <c r="D71" s="9" t="inlineStr">
        <is>
          <t xml:space="preserve"/>
        </is>
      </c>
    </row>
    <row r="72" ht="30" customHeight="1">
      <c r="A72" s="8" t="inlineStr">
        <is>
          <t xml:space="preserve">Onaylayan</t>
        </is>
      </c>
      <c r="B72" s="9" t="inlineStr">
        <is>
          <t xml:space="preserve"/>
        </is>
      </c>
      <c r="C72" s="9" t="inlineStr">
        <is>
          <t xml:space="preserve"/>
        </is>
      </c>
      <c r="D72" s="9" t="inlineStr">
        <is>
          <t xml:space="preserve"/>
        </is>
      </c>
    </row>
    <row r="73" ht="10" customHeight="1"/>
    <row r="74">
      <c r="A74" s="5" t="inlineStr">
        <is>
          <t xml:space="preserve">BOM ve CPL dosyalarını JLC'nin montaj adımına yükle; parça dönüşlerini ve 1 numaralı pinleri JLC önizlemesinde kontrol et, özellikle alt yüzdekileri.</t>
        </is>
      </c>
    </row>
  </sheetData>
  <mergeCells count="35">
    <mergeCell ref="A1:D1"/>
    <mergeCell ref="A2:D2"/>
    <mergeCell ref="B6:D6"/>
    <mergeCell ref="B7:D7"/>
    <mergeCell ref="B8:D8"/>
    <mergeCell ref="B9:D9"/>
    <mergeCell ref="B10:D10"/>
    <mergeCell ref="B11:D11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C42:D42"/>
    <mergeCell ref="A43:D43"/>
    <mergeCell ref="A74:D74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14:05&amp;C&amp;8&amp;A&amp;R&amp;8Sayfa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5" customWidth="1"/>
    <col min="2" max="2" width="14" customWidth="1"/>
    <col min="3" max="3" width="30" customWidth="1"/>
    <col min="4" max="4" width="7" customWidth="1"/>
    <col min="5" max="5" width="16" customWidth="1"/>
    <col min="6" max="6" width="40" customWidth="1"/>
    <col min="7" max="7" width="26" customWidth="1"/>
    <col min="8" max="8" width="13" customWidth="1"/>
    <col min="9" max="9" width="16" customWidth="1"/>
    <col min="10" max="10" width="22" customWidth="1"/>
    <col min="11" max="11" width="11" customWidth="1"/>
    <col min="12" max="12" width="11" customWidth="1"/>
    <col min="13" max="13" width="10" customWidth="1"/>
    <col min="14" max="14" width="13" customWidth="1"/>
    <col min="15" max="15" width="11" customWidth="1"/>
    <col min="16" max="16" width="13" customWidth="1"/>
    <col min="17" max="17" width="13" customWidth="1"/>
    <col min="18" max="18" width="11" customWidth="1"/>
  </cols>
  <sheetData>
    <row r="1" ht="32" customHeight="1">
      <c r="A1" s="4" t="inlineStr">
        <is>
          <t xml:space="preserve">Malzeme listesi (BOM)  ·  BLDCdriver</t>
        </is>
      </c>
    </row>
    <row r="2">
      <c r="A2" s="12" t="inlineStr">
        <is>
          <t xml:space="preserve">Rev C  ·  5 kart  ·  40 çeşit, kart başı 110 parça  ·  2026-10-09 14:05  ·  Aykut Gencer Karaca</t>
        </is>
      </c>
    </row>
    <row r="3" ht="8" customHeight="1"/>
    <row r="4" ht="32" customHeight="1">
      <c r="A4" s="1" t="inlineStr">
        <is>
          <t xml:space="preserve">#</t>
        </is>
      </c>
      <c r="B4" s="1" t="inlineStr">
        <is>
          <t xml:space="preserve">Kategori</t>
        </is>
      </c>
      <c r="C4" s="1" t="inlineStr">
        <is>
          <t xml:space="preserve">Designator</t>
        </is>
      </c>
      <c r="D4" s="1" t="inlineStr">
        <is>
          <t xml:space="preserve">Adet</t>
        </is>
      </c>
      <c r="E4" s="1" t="inlineStr">
        <is>
          <t xml:space="preserve">Değer</t>
        </is>
      </c>
      <c r="F4" s="1" t="inlineStr">
        <is>
          <t xml:space="preserve">Açıklama</t>
        </is>
      </c>
      <c r="G4" s="1" t="inlineStr">
        <is>
          <t xml:space="preserve">Footprint (KiCad)</t>
        </is>
      </c>
      <c r="H4" s="1" t="inlineStr">
        <is>
          <t xml:space="preserve">Paket (LCSC)</t>
        </is>
      </c>
      <c r="I4" s="1" t="inlineStr">
        <is>
          <t xml:space="preserve">Üretici</t>
        </is>
      </c>
      <c r="J4" s="1" t="inlineStr">
        <is>
          <t xml:space="preserve">MPN</t>
        </is>
      </c>
      <c r="K4" s="1" t="inlineStr">
        <is>
          <t xml:space="preserve">LCSC #</t>
        </is>
      </c>
      <c r="L4" s="1" t="inlineStr">
        <is>
          <t xml:space="preserve">JLC tipi</t>
        </is>
      </c>
      <c r="M4" s="1" t="inlineStr">
        <is>
          <t xml:space="preserve">Stok</t>
        </is>
      </c>
      <c r="N4" s="1" t="inlineStr">
        <is>
          <t xml:space="preserve">JLC'nin faturaladığı adet (5 kart)</t>
        </is>
      </c>
      <c r="O4" s="1" t="inlineStr">
        <is>
          <t xml:space="preserve">Birim fiyat</t>
        </is>
      </c>
      <c r="P4" s="1" t="inlineStr">
        <is>
          <t xml:space="preserve">Toplam (5 kart)</t>
        </is>
      </c>
      <c r="Q4" s="1" t="inlineStr">
        <is>
          <t xml:space="preserve">Montaj</t>
        </is>
      </c>
      <c r="R4" s="1" t="inlineStr">
        <is>
          <t xml:space="preserve">Datasheet</t>
        </is>
      </c>
    </row>
    <row r="5" ht="79" customHeight="1">
      <c r="A5" s="6">
        <v>1</v>
      </c>
      <c r="B5" s="2" t="inlineStr">
        <is>
          <t xml:space="preserve">Anahtar / röle</t>
        </is>
      </c>
      <c r="C5" s="25" t="inlineStr">
        <is>
          <t xml:space="preserve">SW1</t>
        </is>
      </c>
      <c r="D5" s="6">
        <v>1</v>
      </c>
      <c r="E5" s="2" t="inlineStr">
        <is>
          <t xml:space="preserve">TS342A2P 160GF 021</t>
        </is>
      </c>
      <c r="F5" s="25" t="inlineStr">
        <is>
          <t xml:space="preserve">-20℃~+70℃ 1.6N 100,000 cycles 12V 2.9mm 2mm 3.9mm 50mA Black No Round Button SMD(SMT) Tab SPST Surface Mount,Vertical Without Bracket SMD Tactile Switches</t>
        </is>
      </c>
      <c r="G5" s="2" t="inlineStr">
        <is>
          <t xml:space="preserve">KEY-SMD_L3.9-W3.0-LS5.0</t>
        </is>
      </c>
      <c r="H5" s="2" t="inlineStr">
        <is>
          <t xml:space="preserve">SMD</t>
        </is>
      </c>
      <c r="I5" s="2" t="inlineStr">
        <is>
          <t xml:space="preserve">SHOU HAN</t>
        </is>
      </c>
      <c r="J5" s="2" t="inlineStr">
        <is>
          <t xml:space="preserve">TS342A2P 160gf 021</t>
        </is>
      </c>
      <c r="K5" s="10" t="str">
        <f>HYPERLINK("https://www.lcsc.com/product-detail/C5373431.html","C5373431")</f>
        <v>C5373431</v>
      </c>
      <c r="L5" s="20" t="inlineStr">
        <is>
          <t xml:space="preserve">Extended</t>
        </is>
      </c>
      <c r="M5" s="23">
        <v>94705</v>
      </c>
      <c r="N5" s="23">
        <v>9</v>
      </c>
      <c r="O5" s="15">
        <v>0.0368</v>
      </c>
      <c r="P5" s="17">
        <v>0.3312</v>
      </c>
      <c r="Q5" s="2" t="inlineStr">
        <is>
          <t xml:space="preserve">JLC dizecek</t>
        </is>
      </c>
      <c r="R5" s="10" t="str">
        <f>HYPERLINK("https://wmsc.lcsc.com/wmsc/upload/file/pdf/v2/lcsc/2404241539_SHOU-HAN-TS342A2P-160gf-021_C5373431.pdf","PDF ↗")</f>
        <v>PDF ↗</v>
      </c>
    </row>
    <row r="6" ht="34" customHeight="1">
      <c r="A6" s="7">
        <v>2</v>
      </c>
      <c r="B6" s="3" t="inlineStr">
        <is>
          <t xml:space="preserve">Bobin</t>
        </is>
      </c>
      <c r="C6" s="26" t="inlineStr">
        <is>
          <t xml:space="preserve">L1</t>
        </is>
      </c>
      <c r="D6" s="7">
        <v>1</v>
      </c>
      <c r="E6" s="3" t="inlineStr">
        <is>
          <t xml:space="preserve">10 uH 2A</t>
        </is>
      </c>
      <c r="F6" s="26" t="inlineStr">
        <is>
          <t xml:space="preserve">10uH 170mΩ 2A 3A Molded Inductor ±20% SMD,5.4x5.1mm Molding Power Inductors</t>
        </is>
      </c>
      <c r="G6" s="3" t="inlineStr">
        <is>
          <t xml:space="preserve">IND-SMD_L5.4-W5.1</t>
        </is>
      </c>
      <c r="H6" s="3" t="inlineStr">
        <is>
          <t xml:space="preserve">SMD,5.4x5.1mm</t>
        </is>
      </c>
      <c r="I6" s="3" t="inlineStr">
        <is>
          <t xml:space="preserve">Sunltech Tech</t>
        </is>
      </c>
      <c r="J6" s="3" t="inlineStr">
        <is>
          <t xml:space="preserve">SLO0520H100MTT</t>
        </is>
      </c>
      <c r="K6" s="11" t="str">
        <f>HYPERLINK("https://www.lcsc.com/product-detail/C325986.html","C325986")</f>
        <v>C325986</v>
      </c>
      <c r="L6" s="20" t="inlineStr">
        <is>
          <t xml:space="preserve">Extended</t>
        </is>
      </c>
      <c r="M6" s="24">
        <v>18834</v>
      </c>
      <c r="N6" s="24">
        <v>9</v>
      </c>
      <c r="O6" s="16">
        <v>0.13</v>
      </c>
      <c r="P6" s="18">
        <v>1.17</v>
      </c>
      <c r="Q6" s="3" t="inlineStr">
        <is>
          <t xml:space="preserve">JLC dizecek</t>
        </is>
      </c>
      <c r="R6" s="11" t="str">
        <f>HYPERLINK("https://wmsc.lcsc.com/wmsc/upload/file/pdf/v2/lcsc/1912111437_Sunltech-Tech-SLO0520H100MTT_C325986.pdf","PDF ↗")</f>
        <v>PDF ↗</v>
      </c>
    </row>
    <row r="7" ht="49" customHeight="1">
      <c r="A7" s="6">
        <v>3</v>
      </c>
      <c r="B7" s="2" t="inlineStr">
        <is>
          <t xml:space="preserve">Direnç</t>
        </is>
      </c>
      <c r="C7" s="25" t="inlineStr">
        <is>
          <t xml:space="preserve">R1, R6, R16</t>
        </is>
      </c>
      <c r="D7" s="6">
        <v>3</v>
      </c>
      <c r="E7" s="2" t="inlineStr">
        <is>
          <t xml:space="preserve">100 Ohm</t>
        </is>
      </c>
      <c r="F7" s="25" t="inlineStr">
        <is>
          <t xml:space="preserve">-55℃~+155℃ 100Ω 125mW 150V Thick Film Resistor ±1% ±100ppm/℃ 0805 Chip Resistor - Surface Mount</t>
        </is>
      </c>
      <c r="G7" s="2" t="inlineStr">
        <is>
          <t xml:space="preserve">R_0805_2012Metric</t>
        </is>
      </c>
      <c r="H7" s="2" t="inlineStr">
        <is>
          <t xml:space="preserve">0805</t>
        </is>
      </c>
      <c r="I7" s="2" t="inlineStr">
        <is>
          <t xml:space="preserve">UNI-ROYAL(Uniroyal Elec)</t>
        </is>
      </c>
      <c r="J7" s="2" t="inlineStr">
        <is>
          <t xml:space="preserve">0805W8F1000T5E</t>
        </is>
      </c>
      <c r="K7" s="10" t="str">
        <f>HYPERLINK("https://www.lcsc.com/product-detail/C17408.html","C17408")</f>
        <v>C17408</v>
      </c>
      <c r="L7" s="19" t="inlineStr">
        <is>
          <t xml:space="preserve">Basic</t>
        </is>
      </c>
      <c r="M7" s="23">
        <v>9155491</v>
      </c>
      <c r="N7" s="23">
        <v>35</v>
      </c>
      <c r="O7" s="15">
        <v>0.0042</v>
      </c>
      <c r="P7" s="17">
        <v>0.147</v>
      </c>
      <c r="Q7" s="2" t="inlineStr">
        <is>
          <t xml:space="preserve">JLC dizecek</t>
        </is>
      </c>
      <c r="R7" s="10" t="str">
        <f>HYPERLINK("https://www.lcsc.com/datasheet/lcsc_datasheet_2411221126_UNI-ROYAL-Uniroyal-Elec-0805W8F1000T5E_C17408.pdf","PDF ↗")</f>
        <v>PDF ↗</v>
      </c>
    </row>
    <row r="8" ht="49" customHeight="1">
      <c r="A8" s="7">
        <v>4</v>
      </c>
      <c r="B8" s="3" t="inlineStr">
        <is>
          <t xml:space="preserve">Direnç</t>
        </is>
      </c>
      <c r="C8" s="26" t="inlineStr">
        <is>
          <t xml:space="preserve">R12, R20, R28</t>
        </is>
      </c>
      <c r="D8" s="7">
        <v>3</v>
      </c>
      <c r="E8" s="3" t="inlineStr">
        <is>
          <t xml:space="preserve">10 mOhm 3W</t>
        </is>
      </c>
      <c r="F8" s="26" t="inlineStr">
        <is>
          <t xml:space="preserve">10mΩ 3W Current Sense Resistor SMD ±1% ±50ppm/℃ 2512 Current Sense Resistors / Shunt Resistors</t>
        </is>
      </c>
      <c r="G8" s="3" t="inlineStr">
        <is>
          <t xml:space="preserve">R_2512_6332Metric</t>
        </is>
      </c>
      <c r="H8" s="3" t="inlineStr">
        <is>
          <t xml:space="preserve">2512</t>
        </is>
      </c>
      <c r="I8" s="3" t="inlineStr">
        <is>
          <t xml:space="preserve">Milliohm</t>
        </is>
      </c>
      <c r="J8" s="3" t="inlineStr">
        <is>
          <t xml:space="preserve">HoYLR2512-3W-10mR-1%</t>
        </is>
      </c>
      <c r="K8" s="11" t="str">
        <f>HYPERLINK("https://www.lcsc.com/product-detail/C5375464.html","C5375464")</f>
        <v>C5375464</v>
      </c>
      <c r="L8" s="20" t="inlineStr">
        <is>
          <t xml:space="preserve">Extended</t>
        </is>
      </c>
      <c r="M8" s="24">
        <v>241885</v>
      </c>
      <c r="N8" s="24">
        <v>19</v>
      </c>
      <c r="O8" s="16">
        <v>0.0555</v>
      </c>
      <c r="P8" s="18">
        <v>1.0545</v>
      </c>
      <c r="Q8" s="3" t="inlineStr">
        <is>
          <t xml:space="preserve">JLC dizecek</t>
        </is>
      </c>
      <c r="R8" s="11" t="str">
        <f>HYPERLINK("https://wmsc.lcsc.com/wmsc/upload/file/pdf/v2/lcsc/2304101800_Milliohm-HoYLR2512-3W-10mR-1-_C5375464.pdf","PDF ↗")</f>
        <v>PDF ↗</v>
      </c>
    </row>
    <row r="9" ht="49" customHeight="1">
      <c r="A9" s="6">
        <v>5</v>
      </c>
      <c r="B9" s="2" t="inlineStr">
        <is>
          <t xml:space="preserve">Direnç</t>
        </is>
      </c>
      <c r="C9" s="25" t="inlineStr">
        <is>
          <t xml:space="preserve">R14</t>
        </is>
      </c>
      <c r="D9" s="6">
        <v>1</v>
      </c>
      <c r="E9" s="2" t="inlineStr">
        <is>
          <t xml:space="preserve">1.65K Ohm %1</t>
        </is>
      </c>
      <c r="F9" s="25" t="inlineStr">
        <is>
          <t xml:space="preserve">-55℃~+155℃ 1.65kΩ 125mW 150V Thick Film Resistor ±1% ±100ppm/℃ 0805 Chip Resistor - Surface Mount</t>
        </is>
      </c>
      <c r="G9" s="2" t="inlineStr">
        <is>
          <t xml:space="preserve">R_0805_2012Metric</t>
        </is>
      </c>
      <c r="H9" s="2" t="inlineStr">
        <is>
          <t xml:space="preserve">0805</t>
        </is>
      </c>
      <c r="I9" s="2" t="inlineStr">
        <is>
          <t xml:space="preserve">FOJAN</t>
        </is>
      </c>
      <c r="J9" s="2" t="inlineStr">
        <is>
          <t xml:space="preserve">FRC0805F1651TS</t>
        </is>
      </c>
      <c r="K9" s="10" t="str">
        <f>HYPERLINK("https://www.lcsc.com/product-detail/C2933334.html","C2933334")</f>
        <v>C2933334</v>
      </c>
      <c r="L9" s="20" t="inlineStr">
        <is>
          <t xml:space="preserve">Extended</t>
        </is>
      </c>
      <c r="M9" s="23">
        <v>64252</v>
      </c>
      <c r="N9" s="23">
        <v>25</v>
      </c>
      <c r="O9" s="15">
        <v>0.0033</v>
      </c>
      <c r="P9" s="17">
        <v>0.0825</v>
      </c>
      <c r="Q9" s="2" t="inlineStr">
        <is>
          <t xml:space="preserve">JLC dizecek</t>
        </is>
      </c>
      <c r="R9" s="10" t="str">
        <f>HYPERLINK("https://wmsc.lcsc.com/wmsc/upload/file/pdf/v2/lcsc/2308241947_FOJAN-FRC0805F1651TS_C2933334.pdf","PDF ↗")</f>
        <v>PDF ↗</v>
      </c>
    </row>
    <row r="10" ht="49" customHeight="1">
      <c r="A10" s="7">
        <v>6</v>
      </c>
      <c r="B10" s="3" t="inlineStr">
        <is>
          <t xml:space="preserve">Direnç</t>
        </is>
      </c>
      <c r="C10" s="26" t="inlineStr">
        <is>
          <t xml:space="preserve">R2, R4, R10, R13, R21, R23</t>
        </is>
      </c>
      <c r="D10" s="7">
        <v>6</v>
      </c>
      <c r="E10" s="3" t="inlineStr">
        <is>
          <t xml:space="preserve">20K Ohm %1</t>
        </is>
      </c>
      <c r="F10" s="26" t="inlineStr">
        <is>
          <t xml:space="preserve">-55℃~+155℃ 125mW 150V 20kΩ Thick Film Resistor ±1% ±100ppm/℃ 0805 Chip Resistor - Surface Mount</t>
        </is>
      </c>
      <c r="G10" s="3" t="inlineStr">
        <is>
          <t xml:space="preserve">R_0805_2012Metric</t>
        </is>
      </c>
      <c r="H10" s="3" t="inlineStr">
        <is>
          <t xml:space="preserve">0805</t>
        </is>
      </c>
      <c r="I10" s="3" t="inlineStr">
        <is>
          <t xml:space="preserve">FOJAN</t>
        </is>
      </c>
      <c r="J10" s="3" t="inlineStr">
        <is>
          <t xml:space="preserve">FRC0805F2002TS</t>
        </is>
      </c>
      <c r="K10" s="11" t="str">
        <f>HYPERLINK("https://www.lcsc.com/product-detail/C2907240.html","C2907240")</f>
        <v>C2907240</v>
      </c>
      <c r="L10" s="20" t="inlineStr">
        <is>
          <t xml:space="preserve">Extended</t>
        </is>
      </c>
      <c r="M10" s="24">
        <v>2512443</v>
      </c>
      <c r="N10" s="24">
        <v>50</v>
      </c>
      <c r="O10" s="16">
        <v>0.0038</v>
      </c>
      <c r="P10" s="18">
        <v>0.19</v>
      </c>
      <c r="Q10" s="3" t="inlineStr">
        <is>
          <t xml:space="preserve">JLC dizecek</t>
        </is>
      </c>
      <c r="R10" s="11" t="str">
        <f>HYPERLINK("https://wmsc.lcsc.com/wmsc/upload/file/pdf/v2/lcsc/2308241947_FOJAN-FRC0805F2002TS_C2907240.pdf","PDF ↗")</f>
        <v>PDF ↗</v>
      </c>
    </row>
    <row r="11" ht="34" customHeight="1">
      <c r="A11" s="6">
        <v>7</v>
      </c>
      <c r="B11" s="2" t="inlineStr">
        <is>
          <t xml:space="preserve">Direnç</t>
        </is>
      </c>
      <c r="C11" s="25" t="inlineStr">
        <is>
          <t xml:space="preserve">R29</t>
        </is>
      </c>
      <c r="D11" s="6">
        <v>1</v>
      </c>
      <c r="E11" s="2" t="inlineStr">
        <is>
          <t xml:space="preserve">RK09Y11L0001</t>
        </is>
      </c>
      <c r="F11" s="25" t="inlineStr">
        <is>
          <t xml:space="preserve">10kΩ 10mW 5V ±30% THT Potentiometers, Variable Resistors</t>
        </is>
      </c>
      <c r="G11" s="2" t="inlineStr">
        <is>
          <t xml:space="preserve">RES-ADJ-TH_RK09Y11L0001</t>
        </is>
      </c>
      <c r="H11" s="2" t="inlineStr">
        <is>
          <t xml:space="preserve">THT</t>
        </is>
      </c>
      <c r="I11" s="2" t="inlineStr">
        <is>
          <t xml:space="preserve">ALPSALPINE</t>
        </is>
      </c>
      <c r="J11" s="2" t="inlineStr">
        <is>
          <t xml:space="preserve">RK09Y11L0001</t>
        </is>
      </c>
      <c r="K11" s="10" t="str">
        <f>HYPERLINK("https://www.lcsc.com/product-detail/C470717.html","C470717")</f>
        <v>C470717</v>
      </c>
      <c r="L11" s="20" t="inlineStr">
        <is>
          <t xml:space="preserve">Extended</t>
        </is>
      </c>
      <c r="M11" s="23">
        <v>2585</v>
      </c>
      <c r="N11" s="23">
        <v>5</v>
      </c>
      <c r="O11" s="15">
        <v>0.8635</v>
      </c>
      <c r="P11" s="17">
        <v>4.3175</v>
      </c>
      <c r="Q11" s="2" t="inlineStr">
        <is>
          <t xml:space="preserve">JLC dizecek</t>
        </is>
      </c>
      <c r="R11" s="10" t="str">
        <f>HYPERLINK("https://wmsc.lcsc.com/wmsc/upload/file/pdf/v2/lcsc/2005150634_ALPSALPINE-RK09Y11L0001_C470717.pdf","PDF ↗")</f>
        <v>PDF ↗</v>
      </c>
    </row>
    <row r="12" ht="49" customHeight="1">
      <c r="A12" s="7">
        <v>8</v>
      </c>
      <c r="B12" s="3" t="inlineStr">
        <is>
          <t xml:space="preserve">Direnç</t>
        </is>
      </c>
      <c r="C12" s="26" t="inlineStr">
        <is>
          <t xml:space="preserve">R3, R11, R22</t>
        </is>
      </c>
      <c r="D12" s="7">
        <v>3</v>
      </c>
      <c r="E12" s="3" t="inlineStr">
        <is>
          <t xml:space="preserve">4.99K Ohm %1</t>
        </is>
      </c>
      <c r="F12" s="26" t="inlineStr">
        <is>
          <t xml:space="preserve">-55℃~+155℃ 125mW 150V 4.99kΩ Thick Film Resistor ±1% ±100ppm/℃ 0805 Chip Resistor - Surface Mount</t>
        </is>
      </c>
      <c r="G12" s="3" t="inlineStr">
        <is>
          <t xml:space="preserve">R_0805_2012Metric</t>
        </is>
      </c>
      <c r="H12" s="3" t="inlineStr">
        <is>
          <t xml:space="preserve">0805</t>
        </is>
      </c>
      <c r="I12" s="3" t="inlineStr">
        <is>
          <t xml:space="preserve">FOJAN</t>
        </is>
      </c>
      <c r="J12" s="3" t="inlineStr">
        <is>
          <t xml:space="preserve">FRC0805F4991TS</t>
        </is>
      </c>
      <c r="K12" s="11" t="str">
        <f>HYPERLINK("https://www.lcsc.com/product-detail/C2933454.html","C2933454")</f>
        <v>C2933454</v>
      </c>
      <c r="L12" s="20" t="inlineStr">
        <is>
          <t xml:space="preserve">Extended</t>
        </is>
      </c>
      <c r="M12" s="24">
        <v>94160</v>
      </c>
      <c r="N12" s="24">
        <v>35</v>
      </c>
      <c r="O12" s="16">
        <v>0.0042</v>
      </c>
      <c r="P12" s="18">
        <v>0.147</v>
      </c>
      <c r="Q12" s="3" t="inlineStr">
        <is>
          <t xml:space="preserve">JLC dizecek</t>
        </is>
      </c>
      <c r="R12" s="11" t="str">
        <f>HYPERLINK("https://wmsc.lcsc.com/wmsc/upload/file/pdf/v2/lcsc/2308241947_FOJAN-FRC0805F4991TS_C2933454.pdf","PDF ↗")</f>
        <v>PDF ↗</v>
      </c>
    </row>
    <row r="13" ht="49" customHeight="1">
      <c r="A13" s="6">
        <v>9</v>
      </c>
      <c r="B13" s="2" t="inlineStr">
        <is>
          <t xml:space="preserve">Direnç</t>
        </is>
      </c>
      <c r="C13" s="25" t="inlineStr">
        <is>
          <t xml:space="preserve">R30</t>
        </is>
      </c>
      <c r="D13" s="6">
        <v>1</v>
      </c>
      <c r="E13" s="2" t="inlineStr">
        <is>
          <t xml:space="preserve">100K Ohm %1</t>
        </is>
      </c>
      <c r="F13" s="25" t="inlineStr">
        <is>
          <t xml:space="preserve">-55℃~+155℃ 100kΩ 125mW 150V Thick Film Resistor ±1% ±100ppm/℃ 0805 Chip Resistor - Surface Mount</t>
        </is>
      </c>
      <c r="G13" s="2" t="inlineStr">
        <is>
          <t xml:space="preserve">R_0805_2012Metric</t>
        </is>
      </c>
      <c r="H13" s="2" t="inlineStr">
        <is>
          <t xml:space="preserve">0805</t>
        </is>
      </c>
      <c r="I13" s="2" t="inlineStr">
        <is>
          <t xml:space="preserve">UNI-ROYAL(Uniroyal Elec)</t>
        </is>
      </c>
      <c r="J13" s="2" t="inlineStr">
        <is>
          <t xml:space="preserve">0805W8F1003T5E</t>
        </is>
      </c>
      <c r="K13" s="10" t="str">
        <f>HYPERLINK("https://www.lcsc.com/product-detail/C149504.html","C149504")</f>
        <v>C149504</v>
      </c>
      <c r="L13" s="19" t="inlineStr">
        <is>
          <t xml:space="preserve">Basic</t>
        </is>
      </c>
      <c r="M13" s="23">
        <v>3976509</v>
      </c>
      <c r="N13" s="23">
        <v>25</v>
      </c>
      <c r="O13" s="15">
        <v>0.0059</v>
      </c>
      <c r="P13" s="17">
        <v>0.1475</v>
      </c>
      <c r="Q13" s="2" t="inlineStr">
        <is>
          <t xml:space="preserve">JLC dizecek</t>
        </is>
      </c>
      <c r="R13" s="10" t="str">
        <f>HYPERLINK("https://www.lcsc.com/datasheet/lcsc_datasheet_2205312316_UNI-ROYAL-Uniroyal-Elec-0805W8F1003T5E_C149504.pdf","PDF ↗")</f>
        <v>PDF ↗</v>
      </c>
    </row>
    <row r="14" ht="49" customHeight="1">
      <c r="A14" s="7">
        <v>10</v>
      </c>
      <c r="B14" s="3" t="inlineStr">
        <is>
          <t xml:space="preserve">Direnç</t>
        </is>
      </c>
      <c r="C14" s="26" t="inlineStr">
        <is>
          <t xml:space="preserve">R31</t>
        </is>
      </c>
      <c r="D14" s="7">
        <v>1</v>
      </c>
      <c r="E14" s="3" t="inlineStr">
        <is>
          <t xml:space="preserve">22.1K Ohm  %1</t>
        </is>
      </c>
      <c r="F14" s="26" t="inlineStr">
        <is>
          <t xml:space="preserve">-55℃~+155℃ 125mW 150V 22.1kΩ Thick Film Resistor ±1% ±100ppm/℃ 0805 Chip Resistor - Surface Mount</t>
        </is>
      </c>
      <c r="G14" s="3" t="inlineStr">
        <is>
          <t xml:space="preserve">R_0805_2012Metric</t>
        </is>
      </c>
      <c r="H14" s="3" t="inlineStr">
        <is>
          <t xml:space="preserve">0805</t>
        </is>
      </c>
      <c r="I14" s="3" t="inlineStr">
        <is>
          <t xml:space="preserve">UNI-ROYAL(Uniroyal Elec)</t>
        </is>
      </c>
      <c r="J14" s="3" t="inlineStr">
        <is>
          <t xml:space="preserve">0805W8F2212T5E</t>
        </is>
      </c>
      <c r="K14" s="11" t="str">
        <f>HYPERLINK("https://www.lcsc.com/product-detail/C17552.html","C17552")</f>
        <v>C17552</v>
      </c>
      <c r="L14" s="20" t="inlineStr">
        <is>
          <t xml:space="preserve">Extended</t>
        </is>
      </c>
      <c r="M14" s="24">
        <v>30831</v>
      </c>
      <c r="N14" s="24">
        <v>25</v>
      </c>
      <c r="O14" s="16">
        <v>0.0027</v>
      </c>
      <c r="P14" s="18">
        <v>0.0675</v>
      </c>
      <c r="Q14" s="3" t="inlineStr">
        <is>
          <t xml:space="preserve">JLC dizecek</t>
        </is>
      </c>
      <c r="R14" s="11" t="str">
        <f>HYPERLINK("https://www.lcsc.com/datasheet/lcsc_datasheet_2206010200_UNI-ROYAL-Uniroyal-Elec-0805W8F2212T5E_C17552.pdf","PDF ↗")</f>
        <v>PDF ↗</v>
      </c>
    </row>
    <row r="15" ht="49" customHeight="1">
      <c r="A15" s="6">
        <v>11</v>
      </c>
      <c r="B15" s="2" t="inlineStr">
        <is>
          <t xml:space="preserve">Direnç</t>
        </is>
      </c>
      <c r="C15" s="25" t="inlineStr">
        <is>
          <t xml:space="preserve">R32</t>
        </is>
      </c>
      <c r="D15" s="6">
        <v>1</v>
      </c>
      <c r="E15" s="2" t="inlineStr">
        <is>
          <t xml:space="preserve">0 Ohm</t>
        </is>
      </c>
      <c r="F15" s="25" t="inlineStr">
        <is>
          <t xml:space="preserve">-55℃~+155℃ 0Ω 125mW 150V Thick Film Resistor ±1% ±800ppm/℃ 0805 Chip Resistor - Surface Mount</t>
        </is>
      </c>
      <c r="G15" s="2" t="inlineStr">
        <is>
          <t xml:space="preserve">R_0805_2012Metric</t>
        </is>
      </c>
      <c r="H15" s="2" t="inlineStr">
        <is>
          <t xml:space="preserve">0805</t>
        </is>
      </c>
      <c r="I15" s="2" t="inlineStr">
        <is>
          <t xml:space="preserve">UNI-ROYAL(Uniroyal Elec)</t>
        </is>
      </c>
      <c r="J15" s="2" t="inlineStr">
        <is>
          <t xml:space="preserve">0805W8F0000T5E</t>
        </is>
      </c>
      <c r="K15" s="10" t="str">
        <f>HYPERLINK("https://www.lcsc.com/product-detail/C17477.html","C17477")</f>
        <v>C17477</v>
      </c>
      <c r="L15" s="19" t="inlineStr">
        <is>
          <t xml:space="preserve">Basic</t>
        </is>
      </c>
      <c r="M15" s="23">
        <v>6543814</v>
      </c>
      <c r="N15" s="23">
        <v>25</v>
      </c>
      <c r="O15" s="15">
        <v>0.0044</v>
      </c>
      <c r="P15" s="17">
        <v>0.11</v>
      </c>
      <c r="Q15" s="2" t="inlineStr">
        <is>
          <t xml:space="preserve">JLC dizecek</t>
        </is>
      </c>
      <c r="R15" s="10" t="str">
        <f>HYPERLINK("https://www.lcsc.com/datasheet/lcsc_datasheet_2206010216_UNI-ROYAL-Uniroyal-Elec-0805W8F0000T5E_C17477.pdf","PDF ↗")</f>
        <v>PDF ↗</v>
      </c>
    </row>
    <row r="16" ht="49" customHeight="1">
      <c r="A16" s="7">
        <v>12</v>
      </c>
      <c r="B16" s="3" t="inlineStr">
        <is>
          <t xml:space="preserve">Direnç</t>
        </is>
      </c>
      <c r="C16" s="26" t="inlineStr">
        <is>
          <t xml:space="preserve">R34</t>
        </is>
      </c>
      <c r="D16" s="7">
        <v>1</v>
      </c>
      <c r="E16" s="3" t="inlineStr">
        <is>
          <t xml:space="preserve">0.5 Ohm</t>
        </is>
      </c>
      <c r="F16" s="26" t="inlineStr">
        <is>
          <t xml:space="preserve">-55℃~+155℃ 125mW 300V 500mΩ Thick Film Resistor ±1% ±300ppm/℃ 0805 Chip Resistor - Surface Mount</t>
        </is>
      </c>
      <c r="G16" s="3" t="inlineStr">
        <is>
          <t xml:space="preserve">R_0805_2012Metric</t>
        </is>
      </c>
      <c r="H16" s="3" t="inlineStr">
        <is>
          <t xml:space="preserve">0805</t>
        </is>
      </c>
      <c r="I16" s="3" t="inlineStr">
        <is>
          <t xml:space="preserve">FOJAN</t>
        </is>
      </c>
      <c r="J16" s="3" t="inlineStr">
        <is>
          <t xml:space="preserve">FRL0805FR500TS</t>
        </is>
      </c>
      <c r="K16" s="11" t="str">
        <f>HYPERLINK("https://www.lcsc.com/product-detail/C2934267.html","C2934267")</f>
        <v>C2934267</v>
      </c>
      <c r="L16" s="20" t="inlineStr">
        <is>
          <t xml:space="preserve">Extended</t>
        </is>
      </c>
      <c r="M16" s="24">
        <v>116386</v>
      </c>
      <c r="N16" s="24">
        <v>25</v>
      </c>
      <c r="O16" s="16">
        <v>0.0064</v>
      </c>
      <c r="P16" s="18">
        <v>0.16</v>
      </c>
      <c r="Q16" s="3" t="inlineStr">
        <is>
          <t xml:space="preserve">JLC dizecek</t>
        </is>
      </c>
      <c r="R16" s="11" t="str">
        <f>HYPERLINK("https://wmsc.lcsc.com/wmsc/upload/file/pdf/v2/lcsc/2308241947_FOJAN-FRL0805FR500TS_C2934267.pdf","PDF ↗")</f>
        <v>PDF ↗</v>
      </c>
    </row>
    <row r="17" ht="49" customHeight="1">
      <c r="A17" s="6">
        <v>13</v>
      </c>
      <c r="B17" s="2" t="inlineStr">
        <is>
          <t xml:space="preserve">Direnç</t>
        </is>
      </c>
      <c r="C17" s="25" t="inlineStr">
        <is>
          <t xml:space="preserve">R36</t>
        </is>
      </c>
      <c r="D17" s="6">
        <v>1</v>
      </c>
      <c r="E17" s="2" t="inlineStr">
        <is>
          <t xml:space="preserve">162k Ohms</t>
        </is>
      </c>
      <c r="F17" s="25" t="inlineStr">
        <is>
          <t xml:space="preserve">-55℃~+155℃ 125mW 150V 162kΩ Thick Film Resistor ±1% ±100ppm/℃ 0805 Chip Resistor - Surface Mount</t>
        </is>
      </c>
      <c r="G17" s="2" t="inlineStr">
        <is>
          <t xml:space="preserve">R_0805_2012Metric</t>
        </is>
      </c>
      <c r="H17" s="2" t="inlineStr">
        <is>
          <t xml:space="preserve">0805</t>
        </is>
      </c>
      <c r="I17" s="2" t="inlineStr">
        <is>
          <t xml:space="preserve">UNI-ROYAL(Uniroyal Elec)</t>
        </is>
      </c>
      <c r="J17" s="2" t="inlineStr">
        <is>
          <t xml:space="preserve">0805W8F1623T5E</t>
        </is>
      </c>
      <c r="K17" s="10" t="str">
        <f>HYPERLINK("https://www.lcsc.com/product-detail/C17486.html","C17486")</f>
        <v>C17486</v>
      </c>
      <c r="L17" s="20" t="inlineStr">
        <is>
          <t xml:space="preserve">Extended</t>
        </is>
      </c>
      <c r="M17" s="23">
        <v>3687</v>
      </c>
      <c r="N17" s="23">
        <v>25</v>
      </c>
      <c r="O17" s="15">
        <v>0.0027</v>
      </c>
      <c r="P17" s="17">
        <v>0.0675</v>
      </c>
      <c r="Q17" s="2" t="inlineStr">
        <is>
          <t xml:space="preserve">JLC dizecek</t>
        </is>
      </c>
      <c r="R17" s="10" t="str">
        <f>HYPERLINK("https://www.lcsc.com/datasheet/lcsc_datasheet_2206010216_UNI-ROYAL-Uniroyal-Elec-0805W8F1623T5E_C17486.pdf","PDF ↗")</f>
        <v>PDF ↗</v>
      </c>
    </row>
    <row r="18" ht="49" customHeight="1">
      <c r="A18" s="7">
        <v>14</v>
      </c>
      <c r="B18" s="3" t="inlineStr">
        <is>
          <t xml:space="preserve">Direnç</t>
        </is>
      </c>
      <c r="C18" s="26" t="inlineStr">
        <is>
          <t xml:space="preserve">R37</t>
        </is>
      </c>
      <c r="D18" s="7">
        <v>1</v>
      </c>
      <c r="E18" s="3" t="inlineStr">
        <is>
          <t xml:space="preserve">30k Ohms</t>
        </is>
      </c>
      <c r="F18" s="26" t="inlineStr">
        <is>
          <t xml:space="preserve">-55℃~+155℃ 125mW 150V 30kΩ Thick Film Resistor ±1% ±100ppm/℃ 0805 Chip Resistor - Surface Mount</t>
        </is>
      </c>
      <c r="G18" s="3" t="inlineStr">
        <is>
          <t xml:space="preserve">R_0805_2012Metric</t>
        </is>
      </c>
      <c r="H18" s="3" t="inlineStr">
        <is>
          <t xml:space="preserve">0805</t>
        </is>
      </c>
      <c r="I18" s="3" t="inlineStr">
        <is>
          <t xml:space="preserve">FOJAN</t>
        </is>
      </c>
      <c r="J18" s="3" t="inlineStr">
        <is>
          <t xml:space="preserve">FRC0805F3002TS</t>
        </is>
      </c>
      <c r="K18" s="11" t="str">
        <f>HYPERLINK("https://www.lcsc.com/product-detail/C2907255.html","C2907255")</f>
        <v>C2907255</v>
      </c>
      <c r="L18" s="20" t="inlineStr">
        <is>
          <t xml:space="preserve">Extended</t>
        </is>
      </c>
      <c r="M18" s="24">
        <v>1154133</v>
      </c>
      <c r="N18" s="24">
        <v>25</v>
      </c>
      <c r="O18" s="16">
        <v>0.0034</v>
      </c>
      <c r="P18" s="18">
        <v>0.085</v>
      </c>
      <c r="Q18" s="3" t="inlineStr">
        <is>
          <t xml:space="preserve">JLC dizecek</t>
        </is>
      </c>
      <c r="R18" s="11" t="str">
        <f>HYPERLINK("https://wmsc.lcsc.com/wmsc/upload/file/pdf/v2/lcsc/2308241947_FOJAN-FRC0805F3002TS_C2907255.pdf","PDF ↗")</f>
        <v>PDF ↗</v>
      </c>
    </row>
    <row r="19" ht="49" customHeight="1">
      <c r="A19" s="6">
        <v>15</v>
      </c>
      <c r="B19" s="2" t="inlineStr">
        <is>
          <t xml:space="preserve">Direnç</t>
        </is>
      </c>
      <c r="C19" s="25" t="inlineStr">
        <is>
          <t xml:space="preserve">R38, R39</t>
        </is>
      </c>
      <c r="D19" s="6">
        <v>2</v>
      </c>
      <c r="E19" s="2" t="inlineStr">
        <is>
          <t xml:space="preserve">200 Ohm</t>
        </is>
      </c>
      <c r="F19" s="25" t="inlineStr">
        <is>
          <t xml:space="preserve">-55℃~+155℃ 125mW 150V 200Ω Thick Film Resistor ±1% ±100ppm/℃ 0805 Chip Resistor - Surface Mount</t>
        </is>
      </c>
      <c r="G19" s="2" t="inlineStr">
        <is>
          <t xml:space="preserve">R_0805_2012Metric</t>
        </is>
      </c>
      <c r="H19" s="2" t="inlineStr">
        <is>
          <t xml:space="preserve">0805</t>
        </is>
      </c>
      <c r="I19" s="2" t="inlineStr">
        <is>
          <t xml:space="preserve">FOJAN</t>
        </is>
      </c>
      <c r="J19" s="2" t="inlineStr">
        <is>
          <t xml:space="preserve">FRC0805F2000TS</t>
        </is>
      </c>
      <c r="K19" s="10" t="str">
        <f>HYPERLINK("https://www.lcsc.com/product-detail/C2907239.html","C2907239")</f>
        <v>C2907239</v>
      </c>
      <c r="L19" s="20" t="inlineStr">
        <is>
          <t xml:space="preserve">Extended</t>
        </is>
      </c>
      <c r="M19" s="23">
        <v>485129</v>
      </c>
      <c r="N19" s="23">
        <v>30</v>
      </c>
      <c r="O19" s="15">
        <v>0.0035</v>
      </c>
      <c r="P19" s="17">
        <v>0.105</v>
      </c>
      <c r="Q19" s="2" t="inlineStr">
        <is>
          <t xml:space="preserve">JLC dizecek</t>
        </is>
      </c>
      <c r="R19" s="10" t="str">
        <f>HYPERLINK("https://wmsc.lcsc.com/wmsc/upload/file/pdf/v2/lcsc/2308241947_FOJAN-FRC0805F2000TS_C2907239.pdf","PDF ↗")</f>
        <v>PDF ↗</v>
      </c>
    </row>
    <row r="20" ht="49" customHeight="1">
      <c r="A20" s="7">
        <v>16</v>
      </c>
      <c r="B20" s="3" t="inlineStr">
        <is>
          <t xml:space="preserve">Direnç</t>
        </is>
      </c>
      <c r="C20" s="26" t="inlineStr">
        <is>
          <t xml:space="preserve">R5, R7, R15, R17, R24, R25</t>
        </is>
      </c>
      <c r="D20" s="7">
        <v>6</v>
      </c>
      <c r="E20" s="3" t="inlineStr">
        <is>
          <t xml:space="preserve">15 Ohm</t>
        </is>
      </c>
      <c r="F20" s="26" t="inlineStr">
        <is>
          <t xml:space="preserve">-55℃~+155℃ 125mW 150V 15Ω Thick Film Resistor ±1% ±100ppm/℃ 0805 Chip Resistor - Surface Mount</t>
        </is>
      </c>
      <c r="G20" s="3" t="inlineStr">
        <is>
          <t xml:space="preserve">R_0805_2012Metric</t>
        </is>
      </c>
      <c r="H20" s="3" t="inlineStr">
        <is>
          <t xml:space="preserve">0805</t>
        </is>
      </c>
      <c r="I20" s="3" t="inlineStr">
        <is>
          <t xml:space="preserve">UNI-ROYAL(Uniroyal Elec)</t>
        </is>
      </c>
      <c r="J20" s="3" t="inlineStr">
        <is>
          <t xml:space="preserve">0805W8F150JT5E</t>
        </is>
      </c>
      <c r="K20" s="11" t="str">
        <f>HYPERLINK("https://www.lcsc.com/product-detail/C17480.html","C17480")</f>
        <v>C17480</v>
      </c>
      <c r="L20" s="21" t="inlineStr">
        <is>
          <t xml:space="preserve">Preferred</t>
        </is>
      </c>
      <c r="M20" s="24">
        <v>278604</v>
      </c>
      <c r="N20" s="24">
        <v>50</v>
      </c>
      <c r="O20" s="16">
        <v>0.0042</v>
      </c>
      <c r="P20" s="18">
        <v>0.21</v>
      </c>
      <c r="Q20" s="3" t="inlineStr">
        <is>
          <t xml:space="preserve">JLC dizecek</t>
        </is>
      </c>
      <c r="R20" s="11" t="str">
        <f>HYPERLINK("https://www.lcsc.com/datasheet/lcsc_datasheet_2206010216_UNI-ROYAL-Uniroyal-Elec-0805W8F150JT5E_C17480.pdf","PDF ↗")</f>
        <v>PDF ↗</v>
      </c>
    </row>
    <row r="21" ht="49" customHeight="1">
      <c r="A21" s="6">
        <v>17</v>
      </c>
      <c r="B21" s="2" t="inlineStr">
        <is>
          <t xml:space="preserve">Direnç</t>
        </is>
      </c>
      <c r="C21" s="25" t="inlineStr">
        <is>
          <t xml:space="preserve">R8, R9, R18, R19, R26, R27, R33, R35, R40</t>
        </is>
      </c>
      <c r="D21" s="6">
        <v>9</v>
      </c>
      <c r="E21" s="2" t="inlineStr">
        <is>
          <t xml:space="preserve">10K Ohm</t>
        </is>
      </c>
      <c r="F21" s="25" t="inlineStr">
        <is>
          <t xml:space="preserve">-55℃~+155℃ 10kΩ 125mW 150V Thick Film Resistor ±1% ±100ppm/℃ 0805 Chip Resistor - Surface Mount</t>
        </is>
      </c>
      <c r="G21" s="2" t="inlineStr">
        <is>
          <t xml:space="preserve">R_0805_2012Metric</t>
        </is>
      </c>
      <c r="H21" s="2" t="inlineStr">
        <is>
          <t xml:space="preserve">0805</t>
        </is>
      </c>
      <c r="I21" s="2" t="inlineStr">
        <is>
          <t xml:space="preserve">FOJAN</t>
        </is>
      </c>
      <c r="J21" s="2" t="inlineStr">
        <is>
          <t xml:space="preserve">FRC0805F1002TS</t>
        </is>
      </c>
      <c r="K21" s="10" t="str">
        <f>HYPERLINK("https://www.lcsc.com/product-detail/C2907219.html","C2907219")</f>
        <v>C2907219</v>
      </c>
      <c r="L21" s="20" t="inlineStr">
        <is>
          <t xml:space="preserve">Extended</t>
        </is>
      </c>
      <c r="M21" s="23">
        <v>6388476</v>
      </c>
      <c r="N21" s="23">
        <v>65</v>
      </c>
      <c r="O21" s="15">
        <v>0.0034</v>
      </c>
      <c r="P21" s="17">
        <v>0.221</v>
      </c>
      <c r="Q21" s="2" t="inlineStr">
        <is>
          <t xml:space="preserve">JLC dizecek</t>
        </is>
      </c>
      <c r="R21" s="10" t="str">
        <f>HYPERLINK("https://wmsc.lcsc.com/wmsc/upload/file/pdf/v2/lcsc/2308241947_FOJAN-FRC0805F1002TS_C2907219.pdf","PDF ↗")</f>
        <v>PDF ↗</v>
      </c>
    </row>
    <row r="22" ht="64" customHeight="1">
      <c r="A22" s="7">
        <v>18</v>
      </c>
      <c r="B22" s="3" t="inlineStr">
        <is>
          <t xml:space="preserve">Diyot / LED</t>
        </is>
      </c>
      <c r="C22" s="26" t="inlineStr">
        <is>
          <t xml:space="preserve">D1</t>
        </is>
      </c>
      <c r="D22" s="7">
        <v>1</v>
      </c>
      <c r="E22" s="3" t="inlineStr">
        <is>
          <t xml:space="preserve">SMBJ20A_C294873</t>
        </is>
      </c>
      <c r="F22" s="26" t="inlineStr">
        <is>
          <t xml:space="preserve">-55℃~+125℃ 18.6A@10/1000us 1uA 20V 24.5V 32.4V 600W@10/1000us TVS Unidirectional DO-214AA(SMB) ESD and Surge Protection (TVS/ESD)</t>
        </is>
      </c>
      <c r="G22" s="3" t="inlineStr">
        <is>
          <t xml:space="preserve">SMB_L4.6-W3.6-LS5.3-RD</t>
        </is>
      </c>
      <c r="H22" s="3" t="inlineStr">
        <is>
          <t xml:space="preserve">DO-214AA(SMB)</t>
        </is>
      </c>
      <c r="I22" s="3" t="inlineStr">
        <is>
          <t xml:space="preserve">SEMIWARE</t>
        </is>
      </c>
      <c r="J22" s="3" t="inlineStr">
        <is>
          <t xml:space="preserve">SMBJ20A</t>
        </is>
      </c>
      <c r="K22" s="11" t="str">
        <f>HYPERLINK("https://www.lcsc.com/product-detail/C294873.html","C294873")</f>
        <v>C294873</v>
      </c>
      <c r="L22" s="20" t="inlineStr">
        <is>
          <t xml:space="preserve">Extended</t>
        </is>
      </c>
      <c r="M22" s="24">
        <v>14</v>
      </c>
      <c r="N22" s="24">
        <v>5</v>
      </c>
      <c r="O22" s="16">
        <v>0.061</v>
      </c>
      <c r="P22" s="18">
        <v>0.305</v>
      </c>
      <c r="Q22" s="3" t="inlineStr">
        <is>
          <t xml:space="preserve">JLC dizecek</t>
        </is>
      </c>
      <c r="R22" s="11" t="str">
        <f>HYPERLINK("https://www.lcsc.com/datasheet/lcsc_datasheet_2304140030_SEMIWARE-SMBJ20A_C294873.pdf","PDF ↗")</f>
        <v>PDF ↗</v>
      </c>
    </row>
    <row r="23" ht="64" customHeight="1">
      <c r="A23" s="6">
        <v>19</v>
      </c>
      <c r="B23" s="2" t="inlineStr">
        <is>
          <t xml:space="preserve">Diyot / LED</t>
        </is>
      </c>
      <c r="C23" s="25" t="inlineStr">
        <is>
          <t xml:space="preserve">LED1, LED2</t>
        </is>
      </c>
      <c r="D23" s="6">
        <v>2</v>
      </c>
      <c r="E23" s="2" t="inlineStr">
        <is>
          <t xml:space="preserve">YLED0805R</t>
        </is>
      </c>
      <c r="F23" s="25" t="inlineStr">
        <is>
          <t xml:space="preserve">-40℃~+85℃ 1.8V~2.4V 120mcd 120° 20mA 60mW 615nm~630nm 645nm Discrete Diode Red Water Clear 0805 LED Indication - Discrete</t>
        </is>
      </c>
      <c r="G23" s="2" t="inlineStr">
        <is>
          <t xml:space="preserve">LED0805-R-RD_RED</t>
        </is>
      </c>
      <c r="H23" s="2" t="inlineStr">
        <is>
          <t xml:space="preserve">0805</t>
        </is>
      </c>
      <c r="I23" s="2" t="inlineStr">
        <is>
          <t xml:space="preserve">YONGYUTAI</t>
        </is>
      </c>
      <c r="J23" s="2" t="inlineStr">
        <is>
          <t xml:space="preserve">YLED0805R</t>
        </is>
      </c>
      <c r="K23" s="10" t="str">
        <f>HYPERLINK("https://www.lcsc.com/product-detail/C19171391.html","C19171391")</f>
        <v>C19171391</v>
      </c>
      <c r="L23" s="20" t="inlineStr">
        <is>
          <t xml:space="preserve">Extended</t>
        </is>
      </c>
      <c r="M23" s="23">
        <v>127117</v>
      </c>
      <c r="N23" s="23">
        <v>30</v>
      </c>
      <c r="O23" s="15">
        <v>0.0082</v>
      </c>
      <c r="P23" s="17">
        <v>0.246</v>
      </c>
      <c r="Q23" s="2" t="inlineStr">
        <is>
          <t xml:space="preserve">JLC dizecek</t>
        </is>
      </c>
      <c r="R23" s="10" t="str">
        <f>HYPERLINK("https://wmsc.lcsc.com/wmsc/upload/file/pdf/v2/lcsc/2310271814_YONGYUTAI-YLED0805R_C19171391.pdf","PDF ↗")</f>
        <v>PDF ↗</v>
      </c>
    </row>
    <row r="24" ht="94" customHeight="1">
      <c r="A24" s="7">
        <v>20</v>
      </c>
      <c r="B24" s="3" t="inlineStr">
        <is>
          <t xml:space="preserve">Entegre</t>
        </is>
      </c>
      <c r="C24" s="26" t="inlineStr">
        <is>
          <t xml:space="preserve">U1</t>
        </is>
      </c>
      <c r="D24" s="7">
        <v>1</v>
      </c>
      <c r="E24" s="3" t="inlineStr">
        <is>
          <t xml:space="preserve">DRV8300DRGER-JSM</t>
        </is>
      </c>
      <c r="F24" s="26" t="inlineStr">
        <is>
          <t xml:space="preserve">-40℃~+125℃ 1.5A 10ns 3 5V~20V 5ns 750mA 800uA Interleaved conduction protection、Dead-time control、Built-in bootstrap diode Low Side、High Side MOSFET VQFN-24(4x4) Brushless DC (BLDC) Motor Driver</t>
        </is>
      </c>
      <c r="G24" s="3" t="inlineStr">
        <is>
          <t xml:space="preserve">QFN-24_L4.0-W4.0-P0.50-BL-EP2.7</t>
        </is>
      </c>
      <c r="H24" s="3" t="inlineStr">
        <is>
          <t xml:space="preserve">VQFN-24(4x4)</t>
        </is>
      </c>
      <c r="I24" s="3" t="inlineStr">
        <is>
          <t xml:space="preserve">Texas Instruments</t>
        </is>
      </c>
      <c r="J24" s="3" t="inlineStr">
        <is>
          <t xml:space="preserve">DRV8300DRGER</t>
        </is>
      </c>
      <c r="K24" s="11" t="str">
        <f>HYPERLINK("https://www.lcsc.com/product-detail/C3655801.html","C3655801")</f>
        <v>C3655801</v>
      </c>
      <c r="L24" s="20" t="inlineStr">
        <is>
          <t xml:space="preserve">Extended</t>
        </is>
      </c>
      <c r="M24" s="24">
        <v>23963</v>
      </c>
      <c r="N24" s="24">
        <v>5</v>
      </c>
      <c r="O24" s="16">
        <v>0.5887</v>
      </c>
      <c r="P24" s="18">
        <v>2.9435</v>
      </c>
      <c r="Q24" s="3" t="inlineStr">
        <is>
          <t xml:space="preserve">JLC dizecek</t>
        </is>
      </c>
      <c r="R24" s="11" t="str">
        <f>HYPERLINK("https://wmsc.lcsc.com/wmsc/upload/file/pdf/v2/lcsc/2302220130_Texas-Instruments-DRV8300DRGER_C3655801.pdf","PDF ↗")</f>
        <v>PDF ↗</v>
      </c>
    </row>
    <row r="25" ht="94" customHeight="1">
      <c r="A25" s="6">
        <v>21</v>
      </c>
      <c r="B25" s="2" t="inlineStr">
        <is>
          <t xml:space="preserve">Entegre</t>
        </is>
      </c>
      <c r="C25" s="25" t="inlineStr">
        <is>
          <t xml:space="preserve">U2, U3, U4</t>
        </is>
      </c>
      <c r="D25" s="6">
        <v>3</v>
      </c>
      <c r="E25" s="2" t="inlineStr">
        <is>
          <t xml:space="preserve">INA180A1IDBVR</t>
        </is>
      </c>
      <c r="F25" s="25" t="inlineStr">
        <is>
          <t xml:space="preserve">-200mV~26V -40℃~+125℃ 1 100dB 100nA 197uA 1uV/℃ 2.7V~5.5V 20V/V 25uV 2V/us 350kHz 40nV/√Hz@1kHz 8mA High-side detection、Low-side detection、Analog output interface、Enable/shutdown function ±26V SOT-23-5 Current Sense Amplifiers</t>
        </is>
      </c>
      <c r="G25" s="2" t="inlineStr">
        <is>
          <t xml:space="preserve">SOT-23-5_L3.0-W1.7-P0.95-LS2.8-BR</t>
        </is>
      </c>
      <c r="H25" s="2" t="inlineStr">
        <is>
          <t xml:space="preserve">SOT-23-5</t>
        </is>
      </c>
      <c r="I25" s="2" t="inlineStr">
        <is>
          <t xml:space="preserve">Texas Instruments</t>
        </is>
      </c>
      <c r="J25" s="2" t="inlineStr">
        <is>
          <t xml:space="preserve">INA180A1IDBVR</t>
        </is>
      </c>
      <c r="K25" s="10" t="str">
        <f>HYPERLINK("https://www.lcsc.com/product-detail/C122228.html","C122228")</f>
        <v>C122228</v>
      </c>
      <c r="L25" s="20" t="inlineStr">
        <is>
          <t xml:space="preserve">Extended</t>
        </is>
      </c>
      <c r="M25" s="23">
        <v>50130</v>
      </c>
      <c r="N25" s="23">
        <v>15</v>
      </c>
      <c r="O25" s="15">
        <v>0.2841</v>
      </c>
      <c r="P25" s="17">
        <v>4.2615</v>
      </c>
      <c r="Q25" s="2" t="inlineStr">
        <is>
          <t xml:space="preserve">JLC dizecek</t>
        </is>
      </c>
      <c r="R25" s="10" t="str">
        <f>HYPERLINK("https://www.lcsc.com/datasheet/lcsc_datasheet_2410010302_Texas-Instruments-INA180A1IDBVR_C122228.pdf","PDF ↗")</f>
        <v>PDF ↗</v>
      </c>
    </row>
    <row r="26" ht="49" customHeight="1">
      <c r="A26" s="7">
        <v>22</v>
      </c>
      <c r="B26" s="3" t="inlineStr">
        <is>
          <t xml:space="preserve">Entegre</t>
        </is>
      </c>
      <c r="C26" s="26" t="inlineStr">
        <is>
          <t xml:space="preserve">U5</t>
        </is>
      </c>
      <c r="D26" s="7">
        <v>1</v>
      </c>
      <c r="E26" s="3" t="inlineStr">
        <is>
          <t xml:space="preserve">TPS54202DDCR</t>
        </is>
      </c>
      <c r="F26" s="26" t="inlineStr">
        <is>
          <t xml:space="preserve">-40℃~+125℃@(TJ) 1 2A 4.5V~28V 45uA 500kHz Adjustable Buck Buck Built-in Yes SOT-23-6 DC-DC Converters</t>
        </is>
      </c>
      <c r="G26" s="3" t="inlineStr">
        <is>
          <t xml:space="preserve">SOT-23-6_L2.9-W1.6-P0.95-LS2.8-BL</t>
        </is>
      </c>
      <c r="H26" s="3" t="inlineStr">
        <is>
          <t xml:space="preserve">SOT-23-6</t>
        </is>
      </c>
      <c r="I26" s="3" t="inlineStr">
        <is>
          <t xml:space="preserve">Texas Instruments</t>
        </is>
      </c>
      <c r="J26" s="3" t="inlineStr">
        <is>
          <t xml:space="preserve">TPS54202DDCR</t>
        </is>
      </c>
      <c r="K26" s="11" t="str">
        <f>HYPERLINK("https://www.lcsc.com/product-detail/C191884.html","C191884")</f>
        <v>C191884</v>
      </c>
      <c r="L26" s="20" t="inlineStr">
        <is>
          <t xml:space="preserve">Extended</t>
        </is>
      </c>
      <c r="M26" s="24">
        <v>287382</v>
      </c>
      <c r="N26" s="24">
        <v>5</v>
      </c>
      <c r="O26" s="16">
        <v>0.1772</v>
      </c>
      <c r="P26" s="18">
        <v>0.886</v>
      </c>
      <c r="Q26" s="3" t="inlineStr">
        <is>
          <t xml:space="preserve">JLC dizecek</t>
        </is>
      </c>
      <c r="R26" s="11" t="str">
        <f>HYPERLINK("https://www.lcsc.com/datasheet/lcsc_datasheet_1810121324_Texas-Instruments-TPS54202DDCR_C191884.pdf","PDF ↗")</f>
        <v>PDF ↗</v>
      </c>
    </row>
    <row r="27" ht="64" customHeight="1">
      <c r="A27" s="6">
        <v>23</v>
      </c>
      <c r="B27" s="2" t="inlineStr">
        <is>
          <t xml:space="preserve">Entegre</t>
        </is>
      </c>
      <c r="C27" s="25" t="inlineStr">
        <is>
          <t xml:space="preserve">U6</t>
        </is>
      </c>
      <c r="D27" s="6">
        <v>1</v>
      </c>
      <c r="E27" s="2" t="inlineStr">
        <is>
          <t xml:space="preserve">STM32F405RGT6</t>
        </is>
      </c>
      <c r="F27" s="25" t="inlineStr">
        <is>
          <t xml:space="preserve">-40℃~+85℃ 1.8V~3.6V 12bit 12bit 168MHz 192KB 1MB 32 Bit 51 ARM Cortex-M4 Built-in FLASH LQFP-64(10x10) Microcontrollers (MCU/MPU/SOC)</t>
        </is>
      </c>
      <c r="G27" s="2" t="inlineStr">
        <is>
          <t xml:space="preserve">LQFP-64_L10.0-W10.0-P0.50-LS12.0-BL</t>
        </is>
      </c>
      <c r="H27" s="2" t="inlineStr">
        <is>
          <t xml:space="preserve">LQFP-64(10x10)</t>
        </is>
      </c>
      <c r="I27" s="2" t="inlineStr">
        <is>
          <t xml:space="preserve">STMicroelectronics</t>
        </is>
      </c>
      <c r="J27" s="2" t="inlineStr">
        <is>
          <t xml:space="preserve">STM32F405RGT6</t>
        </is>
      </c>
      <c r="K27" s="10" t="str">
        <f>HYPERLINK("https://www.lcsc.com/product-detail/C15742.html","C15742")</f>
        <v>C15742</v>
      </c>
      <c r="L27" s="20" t="inlineStr">
        <is>
          <t xml:space="preserve">Extended</t>
        </is>
      </c>
      <c r="M27" s="23">
        <v>1006</v>
      </c>
      <c r="N27" s="23">
        <v>5</v>
      </c>
      <c r="O27" s="15">
        <v>5.9549</v>
      </c>
      <c r="P27" s="17">
        <v>29.7745</v>
      </c>
      <c r="Q27" s="2" t="inlineStr">
        <is>
          <t xml:space="preserve">JLC dizecek</t>
        </is>
      </c>
      <c r="R27" s="10" t="str">
        <f>HYPERLINK("https://www.lcsc.com/datasheet/lcsc_datasheet_2304140030_STMicroelectronics-STM32F405RGT6_C15742.pdf","PDF ↗")</f>
        <v>PDF ↗</v>
      </c>
    </row>
    <row r="28" ht="79" customHeight="1">
      <c r="A28" s="7">
        <v>24</v>
      </c>
      <c r="B28" s="3" t="inlineStr">
        <is>
          <t xml:space="preserve">Entegre</t>
        </is>
      </c>
      <c r="C28" s="26" t="inlineStr">
        <is>
          <t xml:space="preserve">U7</t>
        </is>
      </c>
      <c r="D28" s="7">
        <v>1</v>
      </c>
      <c r="E28" s="3" t="inlineStr">
        <is>
          <t xml:space="preserve">BA00BC0WFP-E2</t>
        </is>
      </c>
      <c r="F28" s="26" t="inlineStr">
        <is>
          <t xml:space="preserve">-40℃~+105℃ 1 1.5V~12V 16V 1A 300mV@(500mA) 500uA 55dB@(120Hz) Adjustable Over Current Protection、Thermal Shutdown Positive TO-252-5 Voltage Regulators - Linear, Low Drop Out (LDO) Regulators</t>
        </is>
      </c>
      <c r="G28" s="3" t="inlineStr">
        <is>
          <t xml:space="preserve">TO-252-5_L6.5-W5.5-P1.30-LS10.0-BR</t>
        </is>
      </c>
      <c r="H28" s="3" t="inlineStr">
        <is>
          <t xml:space="preserve">TO-252-5</t>
        </is>
      </c>
      <c r="I28" s="3" t="inlineStr">
        <is>
          <t xml:space="preserve">ROHM Semicon</t>
        </is>
      </c>
      <c r="J28" s="3" t="inlineStr">
        <is>
          <t xml:space="preserve">BA00BC0WFP-E2</t>
        </is>
      </c>
      <c r="K28" s="11" t="str">
        <f>HYPERLINK("https://www.lcsc.com/product-detail/C308578.html","C308578")</f>
        <v>C308578</v>
      </c>
      <c r="L28" s="20" t="inlineStr">
        <is>
          <t xml:space="preserve">Extended</t>
        </is>
      </c>
      <c r="M28" s="24">
        <v>1481</v>
      </c>
      <c r="N28" s="24">
        <v>5</v>
      </c>
      <c r="O28" s="16">
        <v>0.5155</v>
      </c>
      <c r="P28" s="18">
        <v>2.5775</v>
      </c>
      <c r="Q28" s="3" t="inlineStr">
        <is>
          <t xml:space="preserve">JLC dizecek</t>
        </is>
      </c>
      <c r="R28" s="11" t="str">
        <f>HYPERLINK("https://www.lcsc.com/datasheet/lcsc_datasheet_1912111437_ROHM-Semicon-BA00BC0WFP-E2_C308578.pdf","PDF ↗")</f>
        <v>PDF ↗</v>
      </c>
    </row>
    <row r="29" ht="49" customHeight="1">
      <c r="A29" s="6">
        <v>25</v>
      </c>
      <c r="B29" s="2" t="inlineStr">
        <is>
          <t xml:space="preserve">Entegre</t>
        </is>
      </c>
      <c r="C29" s="25" t="inlineStr">
        <is>
          <t xml:space="preserve">U8</t>
        </is>
      </c>
      <c r="D29" s="6">
        <v>1</v>
      </c>
      <c r="E29" s="2" t="inlineStr">
        <is>
          <t xml:space="preserve">2.54-1*4</t>
        </is>
      </c>
      <c r="F29" s="25" t="inlineStr">
        <is>
          <t xml:space="preserve">-40℃~+105℃ 1 1x4P 2.54mm 2.54mm 2.5A 3mm 4P 6mm Brass Gold Pin Header Through Hole THT,P=2.54mm Pin Headers</t>
        </is>
      </c>
      <c r="G29" s="2" t="inlineStr">
        <is>
          <t xml:space="preserve">HDR-TH_4P-P2.54-V-M-1</t>
        </is>
      </c>
      <c r="H29" s="2" t="inlineStr">
        <is>
          <t xml:space="preserve">THT,P=2.54mm</t>
        </is>
      </c>
      <c r="I29" s="2" t="inlineStr">
        <is>
          <t xml:space="preserve">ZHOURI</t>
        </is>
      </c>
      <c r="J29" s="2" t="inlineStr">
        <is>
          <t xml:space="preserve">2.54-1*4</t>
        </is>
      </c>
      <c r="K29" s="10" t="str">
        <f>HYPERLINK("https://www.lcsc.com/product-detail/C5116483.html","C5116483")</f>
        <v>C5116483</v>
      </c>
      <c r="L29" s="20" t="inlineStr">
        <is>
          <t xml:space="preserve">Extended</t>
        </is>
      </c>
      <c r="M29" s="23">
        <v>45794</v>
      </c>
      <c r="N29" s="23">
        <v>7</v>
      </c>
      <c r="O29" s="15">
        <v>0.0251</v>
      </c>
      <c r="P29" s="17">
        <v>0.1757</v>
      </c>
      <c r="Q29" s="2" t="inlineStr">
        <is>
          <t xml:space="preserve">JLC dizecek</t>
        </is>
      </c>
      <c r="R29" s="10" t="str">
        <f>HYPERLINK("https://wmsc.lcsc.com/wmsc/upload/file/pdf/v2/lcsc/2207291800_ZHOURI-2-54-1-4_C5116483.pdf","PDF ↗")</f>
        <v>PDF ↗</v>
      </c>
    </row>
    <row r="30" ht="34" customHeight="1">
      <c r="A30" s="7">
        <v>26</v>
      </c>
      <c r="B30" s="3" t="inlineStr">
        <is>
          <t xml:space="preserve">Ferrit</t>
        </is>
      </c>
      <c r="C30" s="26" t="inlineStr">
        <is>
          <t xml:space="preserve">FB1</t>
        </is>
      </c>
      <c r="D30" s="7">
        <v>1</v>
      </c>
      <c r="E30" s="3" t="inlineStr">
        <is>
          <t xml:space="preserve">MMZ2012Y202BTD25</t>
        </is>
      </c>
      <c r="F30" s="26" t="inlineStr">
        <is>
          <t xml:space="preserve">-55℃~+125℃ 1 2kΩ@100MHz 400mA 500mΩ ±25% 0805 Ferrite Beads</t>
        </is>
      </c>
      <c r="G30" s="3" t="inlineStr">
        <is>
          <t xml:space="preserve">L0805</t>
        </is>
      </c>
      <c r="H30" s="3" t="inlineStr">
        <is>
          <t xml:space="preserve">0805</t>
        </is>
      </c>
      <c r="I30" s="3" t="inlineStr">
        <is>
          <t xml:space="preserve">TDK</t>
        </is>
      </c>
      <c r="J30" s="3" t="inlineStr">
        <is>
          <t xml:space="preserve">MMZ2012Y202BTD25</t>
        </is>
      </c>
      <c r="K30" s="11" t="str">
        <f>HYPERLINK("https://www.lcsc.com/product-detail/C360718.html","C360718")</f>
        <v>C360718</v>
      </c>
      <c r="L30" s="20" t="inlineStr">
        <is>
          <t xml:space="preserve">Extended</t>
        </is>
      </c>
      <c r="M30" s="24">
        <v>23816</v>
      </c>
      <c r="N30" s="24">
        <v>21</v>
      </c>
      <c r="O30" s="16">
        <v>0.0381</v>
      </c>
      <c r="P30" s="18">
        <v>0.8001</v>
      </c>
      <c r="Q30" s="3" t="inlineStr">
        <is>
          <t xml:space="preserve">JLC dizecek</t>
        </is>
      </c>
      <c r="R30" s="11" t="str">
        <f>HYPERLINK("https://www.lcsc.com/datasheet/lcsc_datasheet_2304140030_TDK-MMZ2012Y202BTD25_C360718.pdf","PDF ↗")</f>
        <v>PDF ↗</v>
      </c>
    </row>
    <row r="31" ht="34" customHeight="1">
      <c r="A31" s="6">
        <v>27</v>
      </c>
      <c r="B31" s="2" t="inlineStr">
        <is>
          <t xml:space="preserve">Kondansatör</t>
        </is>
      </c>
      <c r="C31" s="25" t="inlineStr">
        <is>
          <t xml:space="preserve">C1, C2, C5</t>
        </is>
      </c>
      <c r="D31" s="6">
        <v>3</v>
      </c>
      <c r="E31" s="2" t="inlineStr">
        <is>
          <t xml:space="preserve">22 nF 50V</t>
        </is>
      </c>
      <c r="F31" s="25" t="inlineStr">
        <is>
          <t xml:space="preserve">22nF 50V X7R ±10% 0603 Multilayer Ceramic Capacitors MLCC - SMD/SMT</t>
        </is>
      </c>
      <c r="G31" s="2" t="inlineStr">
        <is>
          <t xml:space="preserve">C_0603_1608Metric</t>
        </is>
      </c>
      <c r="H31" s="2" t="inlineStr">
        <is>
          <t xml:space="preserve">0603</t>
        </is>
      </c>
      <c r="I31" s="2" t="inlineStr">
        <is>
          <t xml:space="preserve">Samsung Electro-Mechanics</t>
        </is>
      </c>
      <c r="J31" s="2" t="inlineStr">
        <is>
          <t xml:space="preserve">CL10B223KB8NNNC</t>
        </is>
      </c>
      <c r="K31" s="10" t="str">
        <f>HYPERLINK("https://www.lcsc.com/product-detail/C21122.html","C21122")</f>
        <v>C21122</v>
      </c>
      <c r="L31" s="19" t="inlineStr">
        <is>
          <t xml:space="preserve">Basic</t>
        </is>
      </c>
      <c r="M31" s="23">
        <v>812793</v>
      </c>
      <c r="N31" s="23">
        <v>35</v>
      </c>
      <c r="O31" s="15">
        <v>0.0083</v>
      </c>
      <c r="P31" s="17">
        <v>0.2905</v>
      </c>
      <c r="Q31" s="2" t="inlineStr">
        <is>
          <t xml:space="preserve">JLC dizecek</t>
        </is>
      </c>
      <c r="R31" s="10" t="str">
        <f>HYPERLINK("https://www.lcsc.com/datasheet/lcsc_datasheet_2304140030_Samsung-Electro-Mechanics-CL10B223KB8NNNC_C21122.pdf","PDF ↗")</f>
        <v>PDF ↗</v>
      </c>
    </row>
    <row r="32" ht="34" customHeight="1">
      <c r="A32" s="7">
        <v>28</v>
      </c>
      <c r="B32" s="3" t="inlineStr">
        <is>
          <t xml:space="preserve">Kondansatör</t>
        </is>
      </c>
      <c r="C32" s="26" t="inlineStr">
        <is>
          <t xml:space="preserve">C10, C33, C34, C43</t>
        </is>
      </c>
      <c r="D32" s="7">
        <v>4</v>
      </c>
      <c r="E32" s="3" t="inlineStr">
        <is>
          <t xml:space="preserve">10 uF 50V</t>
        </is>
      </c>
      <c r="F32" s="26" t="inlineStr">
        <is>
          <t xml:space="preserve">10uF 50V X5R ±10% 1206 Multilayer Ceramic Capacitors MLCC - SMD/SMT</t>
        </is>
      </c>
      <c r="G32" s="3" t="inlineStr">
        <is>
          <t xml:space="preserve">C_1206_3216Metric</t>
        </is>
      </c>
      <c r="H32" s="3" t="inlineStr">
        <is>
          <t xml:space="preserve">1206</t>
        </is>
      </c>
      <c r="I32" s="3" t="inlineStr">
        <is>
          <t xml:space="preserve">Samsung Electro-Mechanics</t>
        </is>
      </c>
      <c r="J32" s="3" t="inlineStr">
        <is>
          <t xml:space="preserve">CL31A106KBHNNNE</t>
        </is>
      </c>
      <c r="K32" s="11" t="str">
        <f>HYPERLINK("https://www.lcsc.com/product-detail/C13585.html","C13585")</f>
        <v>C13585</v>
      </c>
      <c r="L32" s="19" t="inlineStr">
        <is>
          <t xml:space="preserve">Basic</t>
        </is>
      </c>
      <c r="M32" s="24">
        <v>2185403</v>
      </c>
      <c r="N32" s="24">
        <v>28</v>
      </c>
      <c r="O32" s="16">
        <v>0.2656</v>
      </c>
      <c r="P32" s="18">
        <v>7.4368</v>
      </c>
      <c r="Q32" s="3" t="inlineStr">
        <is>
          <t xml:space="preserve">JLC dizecek</t>
        </is>
      </c>
      <c r="R32" s="11" t="str">
        <f>HYPERLINK("https://www.lcsc.com/datasheet/lcsc_datasheet_2304140030_Samsung-Electro-Mechanics-CL31A106KBHNNNE_C13585.pdf","PDF ↗")</f>
        <v>PDF ↗</v>
      </c>
    </row>
    <row r="33" ht="34" customHeight="1">
      <c r="A33" s="6">
        <v>29</v>
      </c>
      <c r="B33" s="2" t="inlineStr">
        <is>
          <t xml:space="preserve">Kondansatör</t>
        </is>
      </c>
      <c r="C33" s="25" t="inlineStr">
        <is>
          <t xml:space="preserve">C11, C23, C30, C35, C36, C37, C38, C40, C44</t>
        </is>
      </c>
      <c r="D33" s="6">
        <v>9</v>
      </c>
      <c r="E33" s="2" t="inlineStr">
        <is>
          <t xml:space="preserve">1 uF 50V</t>
        </is>
      </c>
      <c r="F33" s="25" t="inlineStr">
        <is>
          <t xml:space="preserve">1uF 50V X7R ±10% 0603 Multilayer Ceramic Capacitors MLCC - SMD/SMT</t>
        </is>
      </c>
      <c r="G33" s="2" t="inlineStr">
        <is>
          <t xml:space="preserve">C_0603_1608Metric</t>
        </is>
      </c>
      <c r="H33" s="2" t="inlineStr">
        <is>
          <t xml:space="preserve">0603</t>
        </is>
      </c>
      <c r="I33" s="2" t="inlineStr">
        <is>
          <t xml:space="preserve">Samsung Electro-Mechanics</t>
        </is>
      </c>
      <c r="J33" s="2" t="inlineStr">
        <is>
          <t xml:space="preserve">CL10B105KB8NQNC</t>
        </is>
      </c>
      <c r="K33" s="10" t="str">
        <f>HYPERLINK("https://www.lcsc.com/product-detail/C5199872.html","C5199872")</f>
        <v>C5199872</v>
      </c>
      <c r="L33" s="20" t="inlineStr">
        <is>
          <t xml:space="preserve">Extended</t>
        </is>
      </c>
      <c r="M33" s="23">
        <v>2594311</v>
      </c>
      <c r="N33" s="23">
        <v>65</v>
      </c>
      <c r="O33" s="15">
        <v>0.0243</v>
      </c>
      <c r="P33" s="17">
        <v>1.5795</v>
      </c>
      <c r="Q33" s="2" t="inlineStr">
        <is>
          <t xml:space="preserve">JLC dizecek</t>
        </is>
      </c>
      <c r="R33" s="10" t="str">
        <f>HYPERLINK("https://wmsc.lcsc.com/wmsc/upload/file/pdf/v2/lcsc/2210171730_Samsung-Electro-Mechanics-CL10B105KB8NQNC_C5199872.pdf","PDF ↗")</f>
        <v>PDF ↗</v>
      </c>
    </row>
    <row r="34" ht="34" customHeight="1">
      <c r="A34" s="7">
        <v>30</v>
      </c>
      <c r="B34" s="3" t="inlineStr">
        <is>
          <t xml:space="preserve">Kondansatör</t>
        </is>
      </c>
      <c r="C34" s="26" t="inlineStr">
        <is>
          <t xml:space="preserve">C17, C18</t>
        </is>
      </c>
      <c r="D34" s="7">
        <v>2</v>
      </c>
      <c r="E34" s="3" t="inlineStr">
        <is>
          <t xml:space="preserve">22 uF 16V</t>
        </is>
      </c>
      <c r="F34" s="26" t="inlineStr">
        <is>
          <t xml:space="preserve">16V 22uF X5R ±10% 1206 Multilayer Ceramic Capacitors MLCC - SMD/SMT</t>
        </is>
      </c>
      <c r="G34" s="3" t="inlineStr">
        <is>
          <t xml:space="preserve">C_1206_3216Metric</t>
        </is>
      </c>
      <c r="H34" s="3" t="inlineStr">
        <is>
          <t xml:space="preserve">1206</t>
        </is>
      </c>
      <c r="I34" s="3" t="inlineStr">
        <is>
          <t xml:space="preserve">CCTC</t>
        </is>
      </c>
      <c r="J34" s="3" t="inlineStr">
        <is>
          <t xml:space="preserve">TCC1206X5R226K160HT</t>
        </is>
      </c>
      <c r="K34" s="11" t="str">
        <f>HYPERLINK("https://www.lcsc.com/product-detail/C5448976.html","C5448976")</f>
        <v>C5448976</v>
      </c>
      <c r="L34" s="20" t="inlineStr">
        <is>
          <t xml:space="preserve">Extended</t>
        </is>
      </c>
      <c r="M34" s="24">
        <v>271211</v>
      </c>
      <c r="N34" s="24">
        <v>18</v>
      </c>
      <c r="O34" s="16">
        <v>0.0908</v>
      </c>
      <c r="P34" s="18">
        <v>1.6344</v>
      </c>
      <c r="Q34" s="3" t="inlineStr">
        <is>
          <t xml:space="preserve">JLC dizecek</t>
        </is>
      </c>
      <c r="R34" s="11" t="str">
        <f>HYPERLINK("https://wmsc.lcsc.com/wmsc/upload/file/pdf/v2/lcsc/2403281713_CCTC-TCC1206X5R226K160HT_C5448976.pdf","PDF ↗")</f>
        <v>PDF ↗</v>
      </c>
    </row>
    <row r="35" ht="34" customHeight="1">
      <c r="A35" s="6">
        <v>31</v>
      </c>
      <c r="B35" s="2" t="inlineStr">
        <is>
          <t xml:space="preserve">Kondansatör</t>
        </is>
      </c>
      <c r="C35" s="25" t="inlineStr">
        <is>
          <t xml:space="preserve">C20</t>
        </is>
      </c>
      <c r="D35" s="6">
        <v>1</v>
      </c>
      <c r="E35" s="2" t="inlineStr">
        <is>
          <t xml:space="preserve">56 pF 50V</t>
        </is>
      </c>
      <c r="F35" s="25" t="inlineStr">
        <is>
          <t xml:space="preserve">50V 56pF NP0 ±5% 0603 Multilayer Ceramic Capacitors MLCC - SMD/SMT</t>
        </is>
      </c>
      <c r="G35" s="2" t="inlineStr">
        <is>
          <t xml:space="preserve">C_0603_1608Metric</t>
        </is>
      </c>
      <c r="H35" s="2" t="inlineStr">
        <is>
          <t xml:space="preserve">0603</t>
        </is>
      </c>
      <c r="I35" s="2" t="inlineStr">
        <is>
          <t xml:space="preserve">YAGEO</t>
        </is>
      </c>
      <c r="J35" s="2" t="inlineStr">
        <is>
          <t xml:space="preserve">CC0603JRNPO9BN560</t>
        </is>
      </c>
      <c r="K35" s="10" t="str">
        <f>HYPERLINK("https://www.lcsc.com/product-detail/C107053.html","C107053")</f>
        <v>C107053</v>
      </c>
      <c r="L35" s="20" t="inlineStr">
        <is>
          <t xml:space="preserve">Extended</t>
        </is>
      </c>
      <c r="M35" s="23">
        <v>674815</v>
      </c>
      <c r="N35" s="23">
        <v>25</v>
      </c>
      <c r="O35" s="15">
        <v>0.0056</v>
      </c>
      <c r="P35" s="17">
        <v>0.14</v>
      </c>
      <c r="Q35" s="2" t="inlineStr">
        <is>
          <t xml:space="preserve">JLC dizecek</t>
        </is>
      </c>
      <c r="R35" s="10" t="str">
        <f>HYPERLINK("https://www.lcsc.com/datasheet/lcsc_datasheet_2111251230_YAGEO-CC0603JRNPO9BN560_C107053.pdf","PDF ↗")</f>
        <v>PDF ↗</v>
      </c>
    </row>
    <row r="36" ht="34" customHeight="1">
      <c r="A36" s="7">
        <v>32</v>
      </c>
      <c r="B36" s="3" t="inlineStr">
        <is>
          <t xml:space="preserve">Kondansatör</t>
        </is>
      </c>
      <c r="C36" s="26" t="inlineStr">
        <is>
          <t xml:space="preserve">C22, C24</t>
        </is>
      </c>
      <c r="D36" s="7">
        <v>2</v>
      </c>
      <c r="E36" s="3" t="inlineStr">
        <is>
          <t xml:space="preserve">2.2uF 50V</t>
        </is>
      </c>
      <c r="F36" s="26" t="inlineStr">
        <is>
          <t xml:space="preserve">2.2uF 50V X5R ±10% 0603 Multilayer Ceramic Capacitors MLCC - SMD/SMT</t>
        </is>
      </c>
      <c r="G36" s="3" t="inlineStr">
        <is>
          <t xml:space="preserve">C_0603_1608Metric</t>
        </is>
      </c>
      <c r="H36" s="3" t="inlineStr">
        <is>
          <t xml:space="preserve">0603</t>
        </is>
      </c>
      <c r="I36" s="3" t="inlineStr">
        <is>
          <t xml:space="preserve">Samsung Electro-Mechanics</t>
        </is>
      </c>
      <c r="J36" s="3" t="inlineStr">
        <is>
          <t xml:space="preserve">CL10A225KB8NNNC</t>
        </is>
      </c>
      <c r="K36" s="11" t="str">
        <f>HYPERLINK("https://www.lcsc.com/product-detail/C913904.html","C913904")</f>
        <v>C913904</v>
      </c>
      <c r="L36" s="20" t="inlineStr">
        <is>
          <t xml:space="preserve">Extended</t>
        </is>
      </c>
      <c r="M36" s="24">
        <v>389288</v>
      </c>
      <c r="N36" s="24">
        <v>22</v>
      </c>
      <c r="O36" s="16">
        <v>0.043</v>
      </c>
      <c r="P36" s="18">
        <v>0.946</v>
      </c>
      <c r="Q36" s="3" t="inlineStr">
        <is>
          <t xml:space="preserve">JLC dizecek</t>
        </is>
      </c>
      <c r="R36" s="11" t="str">
        <f>HYPERLINK("https://www.lcsc.com/datasheet/lcsc_datasheet_2304140030_Samsung-Electro-Mechanics-CL10A225KB8NNNC_C913904.pdf","PDF ↗")</f>
        <v>PDF ↗</v>
      </c>
    </row>
    <row r="37" ht="34" customHeight="1">
      <c r="A37" s="6">
        <v>33</v>
      </c>
      <c r="B37" s="2" t="inlineStr">
        <is>
          <t xml:space="preserve">Kondansatör</t>
        </is>
      </c>
      <c r="C37" s="25" t="inlineStr">
        <is>
          <t xml:space="preserve">C25, C26</t>
        </is>
      </c>
      <c r="D37" s="6">
        <v>2</v>
      </c>
      <c r="E37" s="2" t="inlineStr">
        <is>
          <t xml:space="preserve">30pF 50V</t>
        </is>
      </c>
      <c r="F37" s="25" t="inlineStr">
        <is>
          <t xml:space="preserve">30pF 50V NP0 ±5% 0603 Multilayer Ceramic Capacitors MLCC - SMD/SMT</t>
        </is>
      </c>
      <c r="G37" s="2" t="inlineStr">
        <is>
          <t xml:space="preserve">C_0603_1608Metric</t>
        </is>
      </c>
      <c r="H37" s="2" t="inlineStr">
        <is>
          <t xml:space="preserve">0603</t>
        </is>
      </c>
      <c r="I37" s="2" t="inlineStr">
        <is>
          <t xml:space="preserve">YAGEO</t>
        </is>
      </c>
      <c r="J37" s="2" t="inlineStr">
        <is>
          <t xml:space="preserve">CC0603JRNPO9BN300</t>
        </is>
      </c>
      <c r="K37" s="10" t="str">
        <f>HYPERLINK("https://www.lcsc.com/product-detail/C113797.html","C113797")</f>
        <v>C113797</v>
      </c>
      <c r="L37" s="20" t="inlineStr">
        <is>
          <t xml:space="preserve">Extended</t>
        </is>
      </c>
      <c r="M37" s="23">
        <v>991384</v>
      </c>
      <c r="N37" s="23">
        <v>30</v>
      </c>
      <c r="O37" s="15">
        <v>0.0067</v>
      </c>
      <c r="P37" s="17">
        <v>0.201</v>
      </c>
      <c r="Q37" s="2" t="inlineStr">
        <is>
          <t xml:space="preserve">JLC dizecek</t>
        </is>
      </c>
      <c r="R37" s="10" t="str">
        <f>HYPERLINK("https://www.lcsc.com/datasheet/lcsc_datasheet_2304140030_YAGEO-CC0603JRNPO9BN300_C113797.pdf","PDF ↗")</f>
        <v>PDF ↗</v>
      </c>
    </row>
    <row r="38" ht="64" customHeight="1">
      <c r="A38" s="7">
        <v>34</v>
      </c>
      <c r="B38" s="3" t="inlineStr">
        <is>
          <t xml:space="preserve">Kondansatör</t>
        </is>
      </c>
      <c r="C38" s="26" t="inlineStr">
        <is>
          <t xml:space="preserve">C3, C4, C6, C7, C8, C9, C12, C13, C14, C15, C16, C19, C21, C27, C28, C29, C31, C39, C42, C45</t>
        </is>
      </c>
      <c r="D38" s="7">
        <v>20</v>
      </c>
      <c r="E38" s="3" t="inlineStr">
        <is>
          <t xml:space="preserve">100 nF 50V</t>
        </is>
      </c>
      <c r="F38" s="26" t="inlineStr">
        <is>
          <t xml:space="preserve">100nF 50V X7R ±10% 0603 Multilayer Ceramic Capacitors MLCC - SMD/SMT</t>
        </is>
      </c>
      <c r="G38" s="3" t="inlineStr">
        <is>
          <t xml:space="preserve">C_0603_1608Metric</t>
        </is>
      </c>
      <c r="H38" s="3" t="inlineStr">
        <is>
          <t xml:space="preserve">0603</t>
        </is>
      </c>
      <c r="I38" s="3" t="inlineStr">
        <is>
          <t xml:space="preserve">YAGEO</t>
        </is>
      </c>
      <c r="J38" s="3" t="inlineStr">
        <is>
          <t xml:space="preserve">CC0603KRX7R9BB104</t>
        </is>
      </c>
      <c r="K38" s="11" t="str">
        <f>HYPERLINK("https://www.lcsc.com/product-detail/C14663.html","C14663")</f>
        <v>C14663</v>
      </c>
      <c r="L38" s="19" t="inlineStr">
        <is>
          <t xml:space="preserve">Basic</t>
        </is>
      </c>
      <c r="M38" s="24">
        <v>58277349</v>
      </c>
      <c r="N38" s="24">
        <v>120</v>
      </c>
      <c r="O38" s="16">
        <v>0.014</v>
      </c>
      <c r="P38" s="18">
        <v>1.68</v>
      </c>
      <c r="Q38" s="3" t="inlineStr">
        <is>
          <t xml:space="preserve">JLC dizecek</t>
        </is>
      </c>
      <c r="R38" s="11" t="str">
        <f>HYPERLINK("https://www.lcsc.com/datasheet/lcsc_datasheet_2211101700_YAGEO-CC0603KRX7R9BB104_C14663.pdf","PDF ↗")</f>
        <v>PDF ↗</v>
      </c>
    </row>
    <row r="39" ht="34" customHeight="1">
      <c r="A39" s="6">
        <v>35</v>
      </c>
      <c r="B39" s="2" t="inlineStr">
        <is>
          <t xml:space="preserve">Kondansatör</t>
        </is>
      </c>
      <c r="C39" s="25" t="inlineStr">
        <is>
          <t xml:space="preserve">C32, C41, C46</t>
        </is>
      </c>
      <c r="D39" s="6">
        <v>3</v>
      </c>
      <c r="E39" s="2" t="inlineStr">
        <is>
          <t xml:space="preserve">100 uF 25V</t>
        </is>
      </c>
      <c r="F39" s="25" t="inlineStr">
        <is>
          <t xml:space="preserve">SMD,D6.3xL7.7mm Hybrid Aluminum Electrolytic Capacitors</t>
        </is>
      </c>
      <c r="G39" s="2" t="inlineStr">
        <is>
          <t xml:space="preserve">CP_Elec_6.3x7.7</t>
        </is>
      </c>
      <c r="H39" s="2" t="inlineStr">
        <is>
          <t xml:space="preserve">SMD,D6.3xL7.7mm</t>
        </is>
      </c>
      <c r="I39" s="2" t="inlineStr">
        <is>
          <t xml:space="preserve">KNSCHA</t>
        </is>
      </c>
      <c r="J39" s="2" t="inlineStr">
        <is>
          <t xml:space="preserve">118EC450</t>
        </is>
      </c>
      <c r="K39" s="10" t="str">
        <f>HYPERLINK("https://www.lcsc.com/product-detail/C46528102.html","C46528102")</f>
        <v>C46528102</v>
      </c>
      <c r="L39" s="20" t="inlineStr">
        <is>
          <t xml:space="preserve">Extended</t>
        </is>
      </c>
      <c r="M39" s="23">
        <v>5060</v>
      </c>
      <c r="N39" s="23">
        <v>15</v>
      </c>
      <c r="O39" s="15">
        <v>0.1945</v>
      </c>
      <c r="P39" s="17">
        <v>2.9175</v>
      </c>
      <c r="Q39" s="2" t="inlineStr">
        <is>
          <t xml:space="preserve">JLC dizecek</t>
        </is>
      </c>
      <c r="R39" s="2" t="inlineStr">
        <is>
          <t xml:space="preserve"/>
        </is>
      </c>
    </row>
    <row r="40" ht="34" customHeight="1">
      <c r="A40" s="7">
        <v>36</v>
      </c>
      <c r="B40" s="3" t="inlineStr">
        <is>
          <t xml:space="preserve">Kristal / osilatör</t>
        </is>
      </c>
      <c r="C40" s="26" t="inlineStr">
        <is>
          <t xml:space="preserve">X1</t>
        </is>
      </c>
      <c r="D40" s="7">
        <v>1</v>
      </c>
      <c r="E40" s="3" t="inlineStr">
        <is>
          <t xml:space="preserve">X49SM8MSD2SC</t>
        </is>
      </c>
      <c r="F40" s="26" t="inlineStr">
        <is>
          <t xml:space="preserve">-20℃~+70℃ 20pF 70Ω 8MHz Crystal Oscillator ±20ppm ±30ppm HC-49S-SMD Crystals</t>
        </is>
      </c>
      <c r="G40" s="3" t="inlineStr">
        <is>
          <t xml:space="preserve">CRYSTAL-SMD_L11.5-W4.8-LS12.7</t>
        </is>
      </c>
      <c r="H40" s="3" t="inlineStr">
        <is>
          <t xml:space="preserve">HC-49S-SMD</t>
        </is>
      </c>
      <c r="I40" s="3" t="inlineStr">
        <is>
          <t xml:space="preserve">YXC Crystal Oscillators</t>
        </is>
      </c>
      <c r="J40" s="3" t="inlineStr">
        <is>
          <t xml:space="preserve">X49SM8MSD2SC</t>
        </is>
      </c>
      <c r="K40" s="11" t="str">
        <f>HYPERLINK("https://www.lcsc.com/product-detail/C12674.html","C12674")</f>
        <v>C12674</v>
      </c>
      <c r="L40" s="19" t="inlineStr">
        <is>
          <t xml:space="preserve">Basic</t>
        </is>
      </c>
      <c r="M40" s="24">
        <v>134430</v>
      </c>
      <c r="N40" s="24">
        <v>7</v>
      </c>
      <c r="O40" s="16">
        <v>0.0983</v>
      </c>
      <c r="P40" s="18">
        <v>0.6881</v>
      </c>
      <c r="Q40" s="3" t="inlineStr">
        <is>
          <t xml:space="preserve">JLC dizecek</t>
        </is>
      </c>
      <c r="R40" s="11" t="str">
        <f>HYPERLINK("https://www.lcsc.com/datasheet/lcsc_datasheet_2403291504_YXC-Crystal-Oscillators-X49SM8MSD2SC_C12674.pdf","PDF ↗")</f>
        <v>PDF ↗</v>
      </c>
    </row>
    <row r="41" ht="49" customHeight="1">
      <c r="A41" s="6">
        <v>37</v>
      </c>
      <c r="B41" s="2" t="inlineStr">
        <is>
          <t xml:space="preserve">Sigorta</t>
        </is>
      </c>
      <c r="C41" s="25" t="inlineStr">
        <is>
          <t xml:space="preserve">F1</t>
        </is>
      </c>
      <c r="D41" s="6">
        <v>1</v>
      </c>
      <c r="E41" s="2" t="inlineStr">
        <is>
          <t xml:space="preserve">BSMD1206C-2200T</t>
        </is>
      </c>
      <c r="F41" s="25" t="inlineStr">
        <is>
          <t xml:space="preserve">-55℃~+150℃ 1.6mm 150A 20A 3.2mm 32V 32V 51.9 Surface Mount Fuse 1206 Disposable fuses</t>
        </is>
      </c>
      <c r="G41" s="2" t="inlineStr">
        <is>
          <t xml:space="preserve">F1206</t>
        </is>
      </c>
      <c r="H41" s="2" t="inlineStr">
        <is>
          <t xml:space="preserve">1206</t>
        </is>
      </c>
      <c r="I41" s="2" t="inlineStr">
        <is>
          <t xml:space="preserve">BHFUSE</t>
        </is>
      </c>
      <c r="J41" s="2" t="inlineStr">
        <is>
          <t xml:space="preserve">BSMD1206C-2200T</t>
        </is>
      </c>
      <c r="K41" s="10" t="str">
        <f>HYPERLINK("https://www.lcsc.com/product-detail/C41398512.html","C41398512")</f>
        <v>C41398512</v>
      </c>
      <c r="L41" s="20" t="inlineStr">
        <is>
          <t xml:space="preserve">Extended</t>
        </is>
      </c>
      <c r="M41" s="23">
        <v>57520</v>
      </c>
      <c r="N41" s="23">
        <v>9</v>
      </c>
      <c r="O41" s="15">
        <v>0.0953</v>
      </c>
      <c r="P41" s="17">
        <v>0.8577</v>
      </c>
      <c r="Q41" s="2" t="inlineStr">
        <is>
          <t xml:space="preserve">JLC dizecek</t>
        </is>
      </c>
      <c r="R41" s="2" t="inlineStr">
        <is>
          <t xml:space="preserve"/>
        </is>
      </c>
    </row>
    <row r="42">
      <c r="A42" s="7">
        <v>38</v>
      </c>
      <c r="B42" s="3" t="inlineStr">
        <is>
          <t xml:space="preserve">Transistör / MOSFET</t>
        </is>
      </c>
      <c r="C42" s="26" t="inlineStr">
        <is>
          <t xml:space="preserve">Q1, Q2, Q3, Q4, Q5, Q6</t>
        </is>
      </c>
      <c r="D42" s="7">
        <v>6</v>
      </c>
      <c r="E42" s="3" t="inlineStr">
        <is>
          <t xml:space="preserve">DON100N04</t>
        </is>
      </c>
      <c r="F42" s="26" t="inlineStr">
        <is>
          <t xml:space="preserve">DFN5x6-8 MOSFETs</t>
        </is>
      </c>
      <c r="G42" s="3" t="inlineStr">
        <is>
          <t xml:space="preserve">DFN-8_L5.8-W4.9-P1.27-LS6.1-BL-2</t>
        </is>
      </c>
      <c r="H42" s="3" t="inlineStr">
        <is>
          <t xml:space="preserve">DFN5x6-8</t>
        </is>
      </c>
      <c r="I42" s="3" t="inlineStr">
        <is>
          <t xml:space="preserve">DOINGTER</t>
        </is>
      </c>
      <c r="J42" s="3" t="inlineStr">
        <is>
          <t xml:space="preserve">DON100N04</t>
        </is>
      </c>
      <c r="K42" s="11" t="str">
        <f>HYPERLINK("https://www.lcsc.com/product-detail/C41430596.html","C41430596")</f>
        <v>C41430596</v>
      </c>
      <c r="L42" s="20" t="inlineStr">
        <is>
          <t xml:space="preserve">Extended</t>
        </is>
      </c>
      <c r="M42" s="24">
        <v>8244</v>
      </c>
      <c r="N42" s="24">
        <v>30</v>
      </c>
      <c r="O42" s="16">
        <v>0.2432</v>
      </c>
      <c r="P42" s="18">
        <v>7.296</v>
      </c>
      <c r="Q42" s="3" t="inlineStr">
        <is>
          <t xml:space="preserve">JLC dizecek</t>
        </is>
      </c>
      <c r="R42" s="3" t="inlineStr">
        <is>
          <t xml:space="preserve"/>
        </is>
      </c>
    </row>
    <row r="43" ht="49" customHeight="1">
      <c r="A43" s="6">
        <v>39</v>
      </c>
      <c r="B43" s="2" t="inlineStr">
        <is>
          <t xml:space="preserve">Transistör / MOSFET</t>
        </is>
      </c>
      <c r="C43" s="25" t="inlineStr">
        <is>
          <t xml:space="preserve">Q7</t>
        </is>
      </c>
      <c r="D43" s="6">
        <v>1</v>
      </c>
      <c r="E43" s="2" t="inlineStr">
        <is>
          <t xml:space="preserve">HSBA4119</t>
        </is>
      </c>
      <c r="F43" s="25" t="inlineStr">
        <is>
          <t xml:space="preserve">-55℃~+150℃ 1 P-Channel 10.7nF 120A 150W 190nC@10V 2.5V 3.1mΩ@10V 40V 660pF 780pF P-Channel PRPAK5x6-8L MOSFETs</t>
        </is>
      </c>
      <c r="G43" s="2" t="inlineStr">
        <is>
          <t xml:space="preserve">DFN-8_L5.7-W5.1-P1.27-LS6.1-BL</t>
        </is>
      </c>
      <c r="H43" s="2" t="inlineStr">
        <is>
          <t xml:space="preserve">PRPAK5x6-8L</t>
        </is>
      </c>
      <c r="I43" s="2" t="inlineStr">
        <is>
          <t xml:space="preserve">HUASHUO</t>
        </is>
      </c>
      <c r="J43" s="2" t="inlineStr">
        <is>
          <t xml:space="preserve">HSBA4119</t>
        </is>
      </c>
      <c r="K43" s="10" t="str">
        <f>HYPERLINK("https://www.lcsc.com/product-detail/C22359242.html","C22359242")</f>
        <v>C22359242</v>
      </c>
      <c r="L43" s="20" t="inlineStr">
        <is>
          <t xml:space="preserve">Extended</t>
        </is>
      </c>
      <c r="M43" s="23">
        <v>2321</v>
      </c>
      <c r="N43" s="23">
        <v>5</v>
      </c>
      <c r="O43" s="15">
        <v>0.9221</v>
      </c>
      <c r="P43" s="17">
        <v>4.6105</v>
      </c>
      <c r="Q43" s="2" t="inlineStr">
        <is>
          <t xml:space="preserve">JLC dizecek</t>
        </is>
      </c>
      <c r="R43" s="10" t="str">
        <f>HYPERLINK("https://wmsc.lcsc.com/wmsc/upload/file/pdf/v2/lcsc/2403131653_HUASHUO-HSBA4119_C22359242.pdf","PDF ↗")</f>
        <v>PDF ↗</v>
      </c>
    </row>
    <row r="44" ht="49" customHeight="1">
      <c r="A44" s="7">
        <v>40</v>
      </c>
      <c r="B44" s="3" t="inlineStr">
        <is>
          <t xml:space="preserve">Transistör / MOSFET</t>
        </is>
      </c>
      <c r="C44" s="26" t="inlineStr">
        <is>
          <t xml:space="preserve">Q8</t>
        </is>
      </c>
      <c r="D44" s="7">
        <v>1</v>
      </c>
      <c r="E44" s="3" t="inlineStr">
        <is>
          <t xml:space="preserve">MMBT5551_C7420357</t>
        </is>
      </c>
      <c r="F44" s="26" t="inlineStr">
        <is>
          <t xml:space="preserve">-55℃~+150℃ 1 NPN 100 100MHz 150mV 160V 300mW 50nA 600mA 6V NPN SOT-23 Bipolar (BJT)</t>
        </is>
      </c>
      <c r="G44" s="3" t="inlineStr">
        <is>
          <t xml:space="preserve">SOT-23-3_L2.9-W1.3-P1.90-LS2.4-BR</t>
        </is>
      </c>
      <c r="H44" s="3" t="inlineStr">
        <is>
          <t xml:space="preserve">SOT-23</t>
        </is>
      </c>
      <c r="I44" s="3" t="inlineStr">
        <is>
          <t xml:space="preserve">hongjiacheng</t>
        </is>
      </c>
      <c r="J44" s="3" t="inlineStr">
        <is>
          <t xml:space="preserve">MMBT5551</t>
        </is>
      </c>
      <c r="K44" s="11" t="str">
        <f>HYPERLINK("https://www.lcsc.com/product-detail/C7420357.html","C7420357")</f>
        <v>C7420357</v>
      </c>
      <c r="L44" s="21" t="inlineStr">
        <is>
          <t xml:space="preserve">Preferred</t>
        </is>
      </c>
      <c r="M44" s="24">
        <v>8145982</v>
      </c>
      <c r="N44" s="24">
        <v>15</v>
      </c>
      <c r="O44" s="16">
        <v>0.0121</v>
      </c>
      <c r="P44" s="18">
        <v>0.1815</v>
      </c>
      <c r="Q44" s="3" t="inlineStr">
        <is>
          <t xml:space="preserve">JLC dizecek</t>
        </is>
      </c>
      <c r="R44" s="11" t="str">
        <f>HYPERLINK("https://wmsc.lcsc.com/wmsc/upload/file/pdf/v2/lcsc/2312221203_hongjiacheng-MMBT5551_C7420357.pdf","PDF ↗")</f>
        <v>PDF ↗</v>
      </c>
    </row>
    <row r="45" ht="24" customHeight="1">
      <c r="A45" s="8" t="inlineStr">
        <is>
          <t xml:space="preserve"/>
        </is>
      </c>
      <c r="B45" s="8" t="inlineStr">
        <is>
          <t xml:space="preserve"/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C45" s="8" t="inlineStr">
        <is>
          <t xml:space="preserve">Toplam (JLC dizecek)</t>
        </is>
      </c>
      <c r="D45" s="29">
        <v>110</v>
      </c>
      <c r="P45" s="30">
        <f>SUM(P5:P44)</f>
        <v>81.0425</v>
      </c>
    </row>
    <row r="46" ht="8" customHeight="1"/>
    <row r="47">
      <c r="A47" s="5" t="inlineStr">
        <is>
          <t xml:space="preserve">Standard PCBA: her parça çeşidi için $1.53 besleme ücreti.  "Faturalanan adet" = adet × 5 + JLC firesi, en az JLC'nin alt sınırı; fiyat kademesi ve kırmızı stok uyarısı buna göre. USD.</t>
        </is>
      </c>
    </row>
  </sheetData>
  <autoFilter ref="A4:R44"/>
  <mergeCells count="3">
    <mergeCell ref="A1:J1"/>
    <mergeCell ref="A2:J2"/>
    <mergeCell ref="A47:R47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3" customWidth="1"/>
    <col min="2" max="2" width="12" customWidth="1"/>
    <col min="3" max="3" width="12" customWidth="1"/>
    <col min="4" max="4" width="9" customWidth="1"/>
    <col min="5" max="5" width="10" customWidth="1"/>
    <col min="6" max="6" width="26" customWidth="1"/>
    <col min="7" max="7" width="30" customWidth="1"/>
  </cols>
  <sheetData>
    <row r="1" ht="32" customHeight="1">
      <c r="A1" s="4" t="inlineStr">
        <is>
          <t xml:space="preserve">Dizgi koordinatları (CPL)  ·  BLDCdriver</t>
        </is>
      </c>
    </row>
    <row r="2">
      <c r="A2" s="12" t="inlineStr">
        <is>
          <t xml:space="preserve">Rev C  ·  110 parça (üst 72, alt 38)  ·  2026-10-09 14:05  ·  Aykut Gencer Karaca</t>
        </is>
      </c>
    </row>
    <row r="3" ht="8" customHeight="1"/>
    <row r="4" ht="28" customHeight="1">
      <c r="A4" s="1" t="inlineStr">
        <is>
          <t xml:space="preserve">Designator</t>
        </is>
      </c>
      <c r="B4" s="1" t="inlineStr">
        <is>
          <t xml:space="preserve">Mid X (mm)</t>
        </is>
      </c>
      <c r="C4" s="1" t="inlineStr">
        <is>
          <t xml:space="preserve">Mid Y (mm)</t>
        </is>
      </c>
      <c r="D4" s="1" t="inlineStr">
        <is>
          <t xml:space="preserve">Layer</t>
        </is>
      </c>
      <c r="E4" s="1" t="inlineStr">
        <is>
          <t xml:space="preserve">Rotation</t>
        </is>
      </c>
      <c r="F4" s="1" t="inlineStr">
        <is>
          <t xml:space="preserve">Değer</t>
        </is>
      </c>
      <c r="G4" s="1" t="inlineStr">
        <is>
          <t xml:space="preserve">Paket</t>
        </is>
      </c>
    </row>
    <row r="5">
      <c r="A5" s="2" t="inlineStr">
        <is>
          <t xml:space="preserve">C1</t>
        </is>
      </c>
      <c r="B5" s="13">
        <v>179.6</v>
      </c>
      <c r="C5" s="13">
        <v>-83.175</v>
      </c>
      <c r="D5" s="2" t="inlineStr">
        <is>
          <t xml:space="preserve">Bottom</t>
        </is>
      </c>
      <c r="E5" s="6">
        <v>270</v>
      </c>
      <c r="F5" s="2" t="inlineStr">
        <is>
          <t xml:space="preserve">22 nF 50V</t>
        </is>
      </c>
      <c r="G5" s="2" t="inlineStr">
        <is>
          <t xml:space="preserve">C_0603_1608Metric</t>
        </is>
      </c>
    </row>
    <row r="6">
      <c r="A6" s="3" t="inlineStr">
        <is>
          <t xml:space="preserve">C2</t>
        </is>
      </c>
      <c r="B6" s="14">
        <v>179.6</v>
      </c>
      <c r="C6" s="14">
        <v>-94.175</v>
      </c>
      <c r="D6" s="3" t="inlineStr">
        <is>
          <t xml:space="preserve">Bottom</t>
        </is>
      </c>
      <c r="E6" s="7">
        <v>270</v>
      </c>
      <c r="F6" s="3" t="inlineStr">
        <is>
          <t xml:space="preserve">22 nF 50V</t>
        </is>
      </c>
      <c r="G6" s="3" t="inlineStr">
        <is>
          <t xml:space="preserve">C_0603_1608Metric</t>
        </is>
      </c>
    </row>
    <row r="7">
      <c r="A7" s="2" t="inlineStr">
        <is>
          <t xml:space="preserve">C3</t>
        </is>
      </c>
      <c r="B7" s="13">
        <v>177.45</v>
      </c>
      <c r="C7" s="13">
        <v>-83.175</v>
      </c>
      <c r="D7" s="2" t="inlineStr">
        <is>
          <t xml:space="preserve">Bottom</t>
        </is>
      </c>
      <c r="E7" s="6">
        <v>90</v>
      </c>
      <c r="F7" s="2" t="inlineStr">
        <is>
          <t xml:space="preserve">100 nF 50V</t>
        </is>
      </c>
      <c r="G7" s="2" t="inlineStr">
        <is>
          <t xml:space="preserve">C_0603_1608Metric</t>
        </is>
      </c>
    </row>
    <row r="8">
      <c r="A8" s="3" t="inlineStr">
        <is>
          <t xml:space="preserve">C5</t>
        </is>
      </c>
      <c r="B8" s="14">
        <v>179.6</v>
      </c>
      <c r="C8" s="14">
        <v>-105.125</v>
      </c>
      <c r="D8" s="3" t="inlineStr">
        <is>
          <t xml:space="preserve">Bottom</t>
        </is>
      </c>
      <c r="E8" s="7">
        <v>270</v>
      </c>
      <c r="F8" s="3" t="inlineStr">
        <is>
          <t xml:space="preserve">22 nF 50V</t>
        </is>
      </c>
      <c r="G8" s="3" t="inlineStr">
        <is>
          <t xml:space="preserve">C_0603_1608Metric</t>
        </is>
      </c>
    </row>
    <row r="9">
      <c r="A9" s="2" t="inlineStr">
        <is>
          <t xml:space="preserve">C6</t>
        </is>
      </c>
      <c r="B9" s="13">
        <v>177.45</v>
      </c>
      <c r="C9" s="13">
        <v>-94.175</v>
      </c>
      <c r="D9" s="2" t="inlineStr">
        <is>
          <t xml:space="preserve">Bottom</t>
        </is>
      </c>
      <c r="E9" s="6">
        <v>90</v>
      </c>
      <c r="F9" s="2" t="inlineStr">
        <is>
          <t xml:space="preserve">100 nF 50V</t>
        </is>
      </c>
      <c r="G9" s="2" t="inlineStr">
        <is>
          <t xml:space="preserve">C_0603_1608Metric</t>
        </is>
      </c>
    </row>
    <row r="10">
      <c r="A10" s="3" t="inlineStr">
        <is>
          <t xml:space="preserve">C8</t>
        </is>
      </c>
      <c r="B10" s="14">
        <v>177.45</v>
      </c>
      <c r="C10" s="14">
        <v>-105.125</v>
      </c>
      <c r="D10" s="3" t="inlineStr">
        <is>
          <t xml:space="preserve">Bottom</t>
        </is>
      </c>
      <c r="E10" s="7">
        <v>90</v>
      </c>
      <c r="F10" s="3" t="inlineStr">
        <is>
          <t xml:space="preserve">100 nF 50V</t>
        </is>
      </c>
      <c r="G10" s="3" t="inlineStr">
        <is>
          <t xml:space="preserve">C_0603_1608Metric</t>
        </is>
      </c>
    </row>
    <row r="11">
      <c r="A11" s="2" t="inlineStr">
        <is>
          <t xml:space="preserve">C13</t>
        </is>
      </c>
      <c r="B11" s="13">
        <v>135.99</v>
      </c>
      <c r="C11" s="13">
        <v>-88.735</v>
      </c>
      <c r="D11" s="2" t="inlineStr">
        <is>
          <t xml:space="preserve">Bottom</t>
        </is>
      </c>
      <c r="E11" s="6">
        <v>270</v>
      </c>
      <c r="F11" s="2" t="inlineStr">
        <is>
          <t xml:space="preserve">100 nF 50V</t>
        </is>
      </c>
      <c r="G11" s="2" t="inlineStr">
        <is>
          <t xml:space="preserve">C_0603_1608Metric</t>
        </is>
      </c>
    </row>
    <row r="12">
      <c r="A12" s="3" t="inlineStr">
        <is>
          <t xml:space="preserve">C14</t>
        </is>
      </c>
      <c r="B12" s="14">
        <v>143.08</v>
      </c>
      <c r="C12" s="14">
        <v>-88.74</v>
      </c>
      <c r="D12" s="3" t="inlineStr">
        <is>
          <t xml:space="preserve">Bottom</t>
        </is>
      </c>
      <c r="E12" s="7">
        <v>270</v>
      </c>
      <c r="F12" s="3" t="inlineStr">
        <is>
          <t xml:space="preserve">100 nF 50V</t>
        </is>
      </c>
      <c r="G12" s="3" t="inlineStr">
        <is>
          <t xml:space="preserve">C_0603_1608Metric</t>
        </is>
      </c>
    </row>
    <row r="13">
      <c r="A13" s="2" t="inlineStr">
        <is>
          <t xml:space="preserve">C16</t>
        </is>
      </c>
      <c r="B13" s="13">
        <v>129.6475</v>
      </c>
      <c r="C13" s="13">
        <v>-101.04</v>
      </c>
      <c r="D13" s="2" t="inlineStr">
        <is>
          <t xml:space="preserve">Bottom</t>
        </is>
      </c>
      <c r="E13" s="6">
        <v>180</v>
      </c>
      <c r="F13" s="2" t="inlineStr">
        <is>
          <t xml:space="preserve">100 nF 50V</t>
        </is>
      </c>
      <c r="G13" s="2" t="inlineStr">
        <is>
          <t xml:space="preserve">C_0603_1608Metric</t>
        </is>
      </c>
    </row>
    <row r="14">
      <c r="A14" s="3" t="inlineStr">
        <is>
          <t xml:space="preserve">C21</t>
        </is>
      </c>
      <c r="B14" s="14">
        <v>129.785</v>
      </c>
      <c r="C14" s="14">
        <v>-92.18</v>
      </c>
      <c r="D14" s="3" t="inlineStr">
        <is>
          <t xml:space="preserve">Bottom</t>
        </is>
      </c>
      <c r="E14" s="7">
        <v>180</v>
      </c>
      <c r="F14" s="3" t="inlineStr">
        <is>
          <t xml:space="preserve">100 nF 50V</t>
        </is>
      </c>
      <c r="G14" s="3" t="inlineStr">
        <is>
          <t xml:space="preserve">C_0603_1608Metric</t>
        </is>
      </c>
    </row>
    <row r="15">
      <c r="A15" s="2" t="inlineStr">
        <is>
          <t xml:space="preserve">C22</t>
        </is>
      </c>
      <c r="B15" s="13">
        <v>147.375</v>
      </c>
      <c r="C15" s="13">
        <v>-99.97</v>
      </c>
      <c r="D15" s="2" t="inlineStr">
        <is>
          <t xml:space="preserve">Bottom</t>
        </is>
      </c>
      <c r="E15" s="6">
        <v>0</v>
      </c>
      <c r="F15" s="2" t="inlineStr">
        <is>
          <t xml:space="preserve">2.2uF 16V</t>
        </is>
      </c>
      <c r="G15" s="2" t="inlineStr">
        <is>
          <t xml:space="preserve">C_0603_1608Metric</t>
        </is>
      </c>
    </row>
    <row r="16">
      <c r="A16" s="3" t="inlineStr">
        <is>
          <t xml:space="preserve">C23</t>
        </is>
      </c>
      <c r="B16" s="14">
        <v>129.785</v>
      </c>
      <c r="C16" s="14">
        <v>-95.04</v>
      </c>
      <c r="D16" s="3" t="inlineStr">
        <is>
          <t xml:space="preserve">Bottom</t>
        </is>
      </c>
      <c r="E16" s="7">
        <v>180</v>
      </c>
      <c r="F16" s="3" t="inlineStr">
        <is>
          <t xml:space="preserve">1 uF 50V</t>
        </is>
      </c>
      <c r="G16" s="3" t="inlineStr">
        <is>
          <t xml:space="preserve">C_0603_1608Metric</t>
        </is>
      </c>
    </row>
    <row r="17">
      <c r="A17" s="2" t="inlineStr">
        <is>
          <t xml:space="preserve">C24</t>
        </is>
      </c>
      <c r="B17" s="13">
        <v>145.415</v>
      </c>
      <c r="C17" s="13">
        <v>-91.34</v>
      </c>
      <c r="D17" s="2" t="inlineStr">
        <is>
          <t xml:space="preserve">Bottom</t>
        </is>
      </c>
      <c r="E17" s="6">
        <v>0</v>
      </c>
      <c r="F17" s="2" t="inlineStr">
        <is>
          <t xml:space="preserve">2.2uF 16V</t>
        </is>
      </c>
      <c r="G17" s="2" t="inlineStr">
        <is>
          <t xml:space="preserve">C_0603_1608Metric</t>
        </is>
      </c>
    </row>
    <row r="18">
      <c r="A18" s="3" t="inlineStr">
        <is>
          <t xml:space="preserve">C25</t>
        </is>
      </c>
      <c r="B18" s="14">
        <v>121.51</v>
      </c>
      <c r="C18" s="14">
        <v>-102.515</v>
      </c>
      <c r="D18" s="3" t="inlineStr">
        <is>
          <t xml:space="preserve">Bottom</t>
        </is>
      </c>
      <c r="E18" s="7">
        <v>90</v>
      </c>
      <c r="F18" s="3" t="inlineStr">
        <is>
          <t xml:space="preserve">30pF 50V</t>
        </is>
      </c>
      <c r="G18" s="3" t="inlineStr">
        <is>
          <t xml:space="preserve">C_0603_1608Metric</t>
        </is>
      </c>
    </row>
    <row r="19">
      <c r="A19" s="2" t="inlineStr">
        <is>
          <t xml:space="preserve">C26</t>
        </is>
      </c>
      <c r="B19" s="13">
        <v>121.51</v>
      </c>
      <c r="C19" s="13">
        <v>-95.165</v>
      </c>
      <c r="D19" s="2" t="inlineStr">
        <is>
          <t xml:space="preserve">Bottom</t>
        </is>
      </c>
      <c r="E19" s="6">
        <v>270</v>
      </c>
      <c r="F19" s="2" t="inlineStr">
        <is>
          <t xml:space="preserve">30pF 50V</t>
        </is>
      </c>
      <c r="G19" s="2" t="inlineStr">
        <is>
          <t xml:space="preserve">C_0603_1608Metric</t>
        </is>
      </c>
    </row>
    <row r="20">
      <c r="A20" s="3" t="inlineStr">
        <is>
          <t xml:space="preserve">C27</t>
        </is>
      </c>
      <c r="B20" s="14">
        <v>138.115</v>
      </c>
      <c r="C20" s="14">
        <v>-106.04</v>
      </c>
      <c r="D20" s="3" t="inlineStr">
        <is>
          <t xml:space="preserve">Bottom</t>
        </is>
      </c>
      <c r="E20" s="7">
        <v>0</v>
      </c>
      <c r="F20" s="3" t="inlineStr">
        <is>
          <t xml:space="preserve">100 nF 50V</t>
        </is>
      </c>
      <c r="G20" s="3" t="inlineStr">
        <is>
          <t xml:space="preserve">C_0603_1608Metric</t>
        </is>
      </c>
    </row>
    <row r="21">
      <c r="A21" s="2" t="inlineStr">
        <is>
          <t xml:space="preserve">C28</t>
        </is>
      </c>
      <c r="B21" s="13">
        <v>132.605</v>
      </c>
      <c r="C21" s="13">
        <v>-106.05</v>
      </c>
      <c r="D21" s="2" t="inlineStr">
        <is>
          <t xml:space="preserve">Bottom</t>
        </is>
      </c>
      <c r="E21" s="6">
        <v>180</v>
      </c>
      <c r="F21" s="2" t="inlineStr">
        <is>
          <t xml:space="preserve">100 nF 50V</t>
        </is>
      </c>
      <c r="G21" s="2" t="inlineStr">
        <is>
          <t xml:space="preserve">C_0603_1608Metric</t>
        </is>
      </c>
    </row>
    <row r="22">
      <c r="A22" s="3" t="inlineStr">
        <is>
          <t xml:space="preserve">C29</t>
        </is>
      </c>
      <c r="B22" s="14">
        <v>147.375</v>
      </c>
      <c r="C22" s="14">
        <v>-101.65</v>
      </c>
      <c r="D22" s="3" t="inlineStr">
        <is>
          <t xml:space="preserve">Bottom</t>
        </is>
      </c>
      <c r="E22" s="7">
        <v>0</v>
      </c>
      <c r="F22" s="3" t="inlineStr">
        <is>
          <t xml:space="preserve">100 nF 50V</t>
        </is>
      </c>
      <c r="G22" s="3" t="inlineStr">
        <is>
          <t xml:space="preserve">C_0603_1608Metric</t>
        </is>
      </c>
    </row>
    <row r="23">
      <c r="A23" s="2" t="inlineStr">
        <is>
          <t xml:space="preserve">FB1</t>
        </is>
      </c>
      <c r="B23" s="13">
        <v>131.53</v>
      </c>
      <c r="C23" s="13">
        <v>-90.09</v>
      </c>
      <c r="D23" s="2" t="inlineStr">
        <is>
          <t xml:space="preserve">Bottom</t>
        </is>
      </c>
      <c r="E23" s="6">
        <v>180</v>
      </c>
      <c r="F23" s="2" t="inlineStr">
        <is>
          <t xml:space="preserve">MMZ2012Y202BTD25</t>
        </is>
      </c>
      <c r="G23" s="2" t="inlineStr">
        <is>
          <t xml:space="preserve">L0805</t>
        </is>
      </c>
    </row>
    <row r="24">
      <c r="A24" s="3" t="inlineStr">
        <is>
          <t xml:space="preserve">LED2</t>
        </is>
      </c>
      <c r="B24" s="14">
        <v>160.975</v>
      </c>
      <c r="C24" s="14">
        <v>-112.8</v>
      </c>
      <c r="D24" s="3" t="inlineStr">
        <is>
          <t xml:space="preserve">Bottom</t>
        </is>
      </c>
      <c r="E24" s="7">
        <v>180</v>
      </c>
      <c r="F24" s="3" t="inlineStr">
        <is>
          <t xml:space="preserve">YLED0805R</t>
        </is>
      </c>
      <c r="G24" s="3" t="inlineStr">
        <is>
          <t xml:space="preserve">LED0805-R-RD_RED</t>
        </is>
      </c>
    </row>
    <row r="25">
      <c r="A25" s="2" t="inlineStr">
        <is>
          <t xml:space="preserve">Q8</t>
        </is>
      </c>
      <c r="B25" s="13">
        <v>156.6</v>
      </c>
      <c r="C25" s="13">
        <v>-112.8</v>
      </c>
      <c r="D25" s="2" t="inlineStr">
        <is>
          <t xml:space="preserve">Bottom</t>
        </is>
      </c>
      <c r="E25" s="6">
        <v>0</v>
      </c>
      <c r="F25" s="2" t="inlineStr">
        <is>
          <t xml:space="preserve">MMBT5551_C7420357</t>
        </is>
      </c>
      <c r="G25" s="2" t="inlineStr">
        <is>
          <t xml:space="preserve">SOT-23-3_L2.9-W1.3-P1.90-LS2.4-BR</t>
        </is>
      </c>
    </row>
    <row r="26">
      <c r="A26" s="3" t="inlineStr">
        <is>
          <t xml:space="preserve">R1</t>
        </is>
      </c>
      <c r="B26" s="14">
        <v>179.6</v>
      </c>
      <c r="C26" s="14">
        <v>-87.2875</v>
      </c>
      <c r="D26" s="3" t="inlineStr">
        <is>
          <t xml:space="preserve">Bottom</t>
        </is>
      </c>
      <c r="E26" s="7">
        <v>270</v>
      </c>
      <c r="F26" s="3" t="inlineStr">
        <is>
          <t xml:space="preserve">100 Ohm</t>
        </is>
      </c>
      <c r="G26" s="3" t="inlineStr">
        <is>
          <t xml:space="preserve">R_0805_2012Metric</t>
        </is>
      </c>
    </row>
    <row r="27">
      <c r="A27" s="2" t="inlineStr">
        <is>
          <t xml:space="preserve">R6</t>
        </is>
      </c>
      <c r="B27" s="13">
        <v>179.6</v>
      </c>
      <c r="C27" s="13">
        <v>-98.4</v>
      </c>
      <c r="D27" s="2" t="inlineStr">
        <is>
          <t xml:space="preserve">Bottom</t>
        </is>
      </c>
      <c r="E27" s="6">
        <v>270</v>
      </c>
      <c r="F27" s="2" t="inlineStr">
        <is>
          <t xml:space="preserve">100 Ohm</t>
        </is>
      </c>
      <c r="G27" s="2" t="inlineStr">
        <is>
          <t xml:space="preserve">R_0805_2012Metric</t>
        </is>
      </c>
    </row>
    <row r="28">
      <c r="A28" s="3" t="inlineStr">
        <is>
          <t xml:space="preserve">R12</t>
        </is>
      </c>
      <c r="B28" s="14">
        <v>172.75</v>
      </c>
      <c r="C28" s="14">
        <v>-86.9</v>
      </c>
      <c r="D28" s="3" t="inlineStr">
        <is>
          <t xml:space="preserve">Bottom</t>
        </is>
      </c>
      <c r="E28" s="7">
        <v>90</v>
      </c>
      <c r="F28" s="3" t="inlineStr">
        <is>
          <t xml:space="preserve">10 mOhm 3W</t>
        </is>
      </c>
      <c r="G28" s="3" t="inlineStr">
        <is>
          <t xml:space="preserve">R_2512_6332Metric</t>
        </is>
      </c>
    </row>
    <row r="29">
      <c r="A29" s="2" t="inlineStr">
        <is>
          <t xml:space="preserve">R14</t>
        </is>
      </c>
      <c r="B29" s="13">
        <v>182.525</v>
      </c>
      <c r="C29" s="13">
        <v>-96.575</v>
      </c>
      <c r="D29" s="2" t="inlineStr">
        <is>
          <t xml:space="preserve">Bottom</t>
        </is>
      </c>
      <c r="E29" s="6">
        <v>90</v>
      </c>
      <c r="F29" s="2" t="inlineStr">
        <is>
          <t xml:space="preserve">1.65K Ohm %1</t>
        </is>
      </c>
      <c r="G29" s="2" t="inlineStr">
        <is>
          <t xml:space="preserve">R_0805_2012Metric</t>
        </is>
      </c>
    </row>
    <row r="30">
      <c r="A30" s="3" t="inlineStr">
        <is>
          <t xml:space="preserve">R16</t>
        </is>
      </c>
      <c r="B30" s="14">
        <v>179.6</v>
      </c>
      <c r="C30" s="14">
        <v>-109.3375</v>
      </c>
      <c r="D30" s="3" t="inlineStr">
        <is>
          <t xml:space="preserve">Bottom</t>
        </is>
      </c>
      <c r="E30" s="7">
        <v>270</v>
      </c>
      <c r="F30" s="3" t="inlineStr">
        <is>
          <t xml:space="preserve">100 Ohm</t>
        </is>
      </c>
      <c r="G30" s="3" t="inlineStr">
        <is>
          <t xml:space="preserve">R_0805_2012Metric</t>
        </is>
      </c>
    </row>
    <row r="31">
      <c r="A31" s="2" t="inlineStr">
        <is>
          <t xml:space="preserve">R20</t>
        </is>
      </c>
      <c r="B31" s="13">
        <v>172.75</v>
      </c>
      <c r="C31" s="13">
        <v>-98.0125</v>
      </c>
      <c r="D31" s="2" t="inlineStr">
        <is>
          <t xml:space="preserve">Bottom</t>
        </is>
      </c>
      <c r="E31" s="6">
        <v>90</v>
      </c>
      <c r="F31" s="2" t="inlineStr">
        <is>
          <t xml:space="preserve">10 mOhm 3W</t>
        </is>
      </c>
      <c r="G31" s="2" t="inlineStr">
        <is>
          <t xml:space="preserve">R_2512_6332Metric</t>
        </is>
      </c>
    </row>
    <row r="32">
      <c r="A32" s="3" t="inlineStr">
        <is>
          <t xml:space="preserve">R28</t>
        </is>
      </c>
      <c r="B32" s="14">
        <v>172.75</v>
      </c>
      <c r="C32" s="14">
        <v>-108.95</v>
      </c>
      <c r="D32" s="3" t="inlineStr">
        <is>
          <t xml:space="preserve">Bottom</t>
        </is>
      </c>
      <c r="E32" s="7">
        <v>90</v>
      </c>
      <c r="F32" s="3" t="inlineStr">
        <is>
          <t xml:space="preserve">10 mOhm 3W</t>
        </is>
      </c>
      <c r="G32" s="3" t="inlineStr">
        <is>
          <t xml:space="preserve">R_2512_6332Metric</t>
        </is>
      </c>
    </row>
    <row r="33">
      <c r="A33" s="2" t="inlineStr">
        <is>
          <t xml:space="preserve">R32</t>
        </is>
      </c>
      <c r="B33" s="13">
        <v>129.6475</v>
      </c>
      <c r="C33" s="13">
        <v>-97.89</v>
      </c>
      <c r="D33" s="2" t="inlineStr">
        <is>
          <t xml:space="preserve">Bottom</t>
        </is>
      </c>
      <c r="E33" s="6">
        <v>0</v>
      </c>
      <c r="F33" s="2" t="inlineStr">
        <is>
          <t xml:space="preserve">0 Ohm</t>
        </is>
      </c>
      <c r="G33" s="2" t="inlineStr">
        <is>
          <t xml:space="preserve">R_0805_2012Metric</t>
        </is>
      </c>
    </row>
    <row r="34">
      <c r="A34" s="3" t="inlineStr">
        <is>
          <t xml:space="preserve">R33</t>
        </is>
      </c>
      <c r="B34" s="14">
        <v>135.39</v>
      </c>
      <c r="C34" s="14">
        <v>-106.9625</v>
      </c>
      <c r="D34" s="3" t="inlineStr">
        <is>
          <t xml:space="preserve">Bottom</t>
        </is>
      </c>
      <c r="E34" s="7">
        <v>270</v>
      </c>
      <c r="F34" s="3" t="inlineStr">
        <is>
          <t xml:space="preserve">10K Ohm</t>
        </is>
      </c>
      <c r="G34" s="3" t="inlineStr">
        <is>
          <t xml:space="preserve">R_0805_2012Metric</t>
        </is>
      </c>
    </row>
    <row r="35">
      <c r="A35" s="2" t="inlineStr">
        <is>
          <t xml:space="preserve">R39</t>
        </is>
      </c>
      <c r="B35" s="13">
        <v>164.175</v>
      </c>
      <c r="C35" s="13">
        <v>-110.4375</v>
      </c>
      <c r="D35" s="2" t="inlineStr">
        <is>
          <t xml:space="preserve">Bottom</t>
        </is>
      </c>
      <c r="E35" s="6">
        <v>270</v>
      </c>
      <c r="F35" s="2" t="inlineStr">
        <is>
          <t xml:space="preserve">200 Ohm</t>
        </is>
      </c>
      <c r="G35" s="2" t="inlineStr">
        <is>
          <t xml:space="preserve">R_0805_2012Metric</t>
        </is>
      </c>
    </row>
    <row r="36">
      <c r="A36" s="3" t="inlineStr">
        <is>
          <t xml:space="preserve">R40</t>
        </is>
      </c>
      <c r="B36" s="14">
        <v>152.2875</v>
      </c>
      <c r="C36" s="14">
        <v>-113.75</v>
      </c>
      <c r="D36" s="3" t="inlineStr">
        <is>
          <t xml:space="preserve">Bottom</t>
        </is>
      </c>
      <c r="E36" s="7">
        <v>180</v>
      </c>
      <c r="F36" s="3" t="inlineStr">
        <is>
          <t xml:space="preserve">10K Ohm</t>
        </is>
      </c>
      <c r="G36" s="3" t="inlineStr">
        <is>
          <t xml:space="preserve">R_0805_2012Metric</t>
        </is>
      </c>
    </row>
    <row r="37">
      <c r="A37" s="2" t="inlineStr">
        <is>
          <t xml:space="preserve">SW1</t>
        </is>
      </c>
      <c r="B37" s="13">
        <v>131.2</v>
      </c>
      <c r="C37" s="13">
        <v>-110.175</v>
      </c>
      <c r="D37" s="2" t="inlineStr">
        <is>
          <t xml:space="preserve">Bottom</t>
        </is>
      </c>
      <c r="E37" s="6">
        <v>180</v>
      </c>
      <c r="F37" s="2" t="inlineStr">
        <is>
          <t xml:space="preserve">TS342A2P 160GF 021</t>
        </is>
      </c>
      <c r="G37" s="2" t="inlineStr">
        <is>
          <t xml:space="preserve">KEY-SMD_L3.9-W3.0-LS5.0</t>
        </is>
      </c>
    </row>
    <row r="38">
      <c r="A38" s="3" t="inlineStr">
        <is>
          <t xml:space="preserve">U2</t>
        </is>
      </c>
      <c r="B38" s="14">
        <v>176.5</v>
      </c>
      <c r="C38" s="14">
        <v>-86.9</v>
      </c>
      <c r="D38" s="3" t="inlineStr">
        <is>
          <t xml:space="preserve">Bottom</t>
        </is>
      </c>
      <c r="E38" s="7">
        <v>270</v>
      </c>
      <c r="F38" s="3" t="inlineStr">
        <is>
          <t xml:space="preserve">INA180A1IDBVR</t>
        </is>
      </c>
      <c r="G38" s="3" t="inlineStr">
        <is>
          <t xml:space="preserve">SOT-23-5_L3.0-W1.7-P0.95-LS2.8-BR</t>
        </is>
      </c>
    </row>
    <row r="39">
      <c r="A39" s="2" t="inlineStr">
        <is>
          <t xml:space="preserve">U3</t>
        </is>
      </c>
      <c r="B39" s="13">
        <v>176.5</v>
      </c>
      <c r="C39" s="13">
        <v>-98.0125</v>
      </c>
      <c r="D39" s="2" t="inlineStr">
        <is>
          <t xml:space="preserve">Bottom</t>
        </is>
      </c>
      <c r="E39" s="6">
        <v>270</v>
      </c>
      <c r="F39" s="2" t="inlineStr">
        <is>
          <t xml:space="preserve">INA180A1IDBVR</t>
        </is>
      </c>
      <c r="G39" s="2" t="inlineStr">
        <is>
          <t xml:space="preserve">SOT-23-5_L3.0-W1.7-P0.95-LS2.8-BR</t>
        </is>
      </c>
    </row>
    <row r="40">
      <c r="A40" s="3" t="inlineStr">
        <is>
          <t xml:space="preserve">U4</t>
        </is>
      </c>
      <c r="B40" s="14">
        <v>176.5</v>
      </c>
      <c r="C40" s="14">
        <v>-108.95</v>
      </c>
      <c r="D40" s="3" t="inlineStr">
        <is>
          <t xml:space="preserve">Bottom</t>
        </is>
      </c>
      <c r="E40" s="7">
        <v>270</v>
      </c>
      <c r="F40" s="3" t="inlineStr">
        <is>
          <t xml:space="preserve">INA180A1IDBVR</t>
        </is>
      </c>
      <c r="G40" s="3" t="inlineStr">
        <is>
          <t xml:space="preserve">SOT-23-5_L3.0-W1.7-P0.95-LS2.8-BR</t>
        </is>
      </c>
    </row>
    <row r="41">
      <c r="A41" s="2" t="inlineStr">
        <is>
          <t xml:space="preserve">U6</t>
        </is>
      </c>
      <c r="B41" s="13">
        <v>138.74</v>
      </c>
      <c r="C41" s="13">
        <v>-97.29</v>
      </c>
      <c r="D41" s="2" t="inlineStr">
        <is>
          <t xml:space="preserve">Bottom</t>
        </is>
      </c>
      <c r="E41" s="6">
        <v>90</v>
      </c>
      <c r="F41" s="2" t="inlineStr">
        <is>
          <t xml:space="preserve"/>
        </is>
      </c>
      <c r="G41" s="2" t="inlineStr">
        <is>
          <t xml:space="preserve">LQFP-64_L10.0-W10.0-P0.50-LS12.0-BL</t>
        </is>
      </c>
    </row>
    <row r="42">
      <c r="A42" s="3" t="inlineStr">
        <is>
          <t xml:space="preserve">X1</t>
        </is>
      </c>
      <c r="B42" s="14">
        <v>124.98</v>
      </c>
      <c r="C42" s="14">
        <v>-98.84</v>
      </c>
      <c r="D42" s="3" t="inlineStr">
        <is>
          <t xml:space="preserve">Bottom</t>
        </is>
      </c>
      <c r="E42" s="7">
        <v>90</v>
      </c>
      <c r="F42" s="3" t="inlineStr">
        <is>
          <t xml:space="preserve">X49SM8MSD2SC</t>
        </is>
      </c>
      <c r="G42" s="3" t="inlineStr">
        <is>
          <t xml:space="preserve">CRYSTAL-SMD_L11.5-W4.8-LS12.7</t>
        </is>
      </c>
    </row>
    <row r="43">
      <c r="A43" s="2" t="inlineStr">
        <is>
          <t xml:space="preserve">C4</t>
        </is>
      </c>
      <c r="B43" s="13">
        <v>167.7</v>
      </c>
      <c r="C43" s="13">
        <v>-86.615</v>
      </c>
      <c r="D43" s="2" t="inlineStr">
        <is>
          <t xml:space="preserve">Top</t>
        </is>
      </c>
      <c r="E43" s="6">
        <v>90</v>
      </c>
      <c r="F43" s="2" t="inlineStr">
        <is>
          <t xml:space="preserve">100 nF 50V</t>
        </is>
      </c>
      <c r="G43" s="2" t="inlineStr">
        <is>
          <t xml:space="preserve">C_0603_1608Metric</t>
        </is>
      </c>
    </row>
    <row r="44">
      <c r="A44" s="3" t="inlineStr">
        <is>
          <t xml:space="preserve">C7</t>
        </is>
      </c>
      <c r="B44" s="14">
        <v>167.7</v>
      </c>
      <c r="C44" s="14">
        <v>-97.6</v>
      </c>
      <c r="D44" s="3" t="inlineStr">
        <is>
          <t xml:space="preserve">Top</t>
        </is>
      </c>
      <c r="E44" s="7">
        <v>90</v>
      </c>
      <c r="F44" s="3" t="inlineStr">
        <is>
          <t xml:space="preserve">100 nF 50V</t>
        </is>
      </c>
      <c r="G44" s="3" t="inlineStr">
        <is>
          <t xml:space="preserve">C_0603_1608Metric</t>
        </is>
      </c>
    </row>
    <row r="45">
      <c r="A45" s="2" t="inlineStr">
        <is>
          <t xml:space="preserve">C9</t>
        </is>
      </c>
      <c r="B45" s="13">
        <v>167.7</v>
      </c>
      <c r="C45" s="13">
        <v>-108.5</v>
      </c>
      <c r="D45" s="2" t="inlineStr">
        <is>
          <t xml:space="preserve">Top</t>
        </is>
      </c>
      <c r="E45" s="6">
        <v>90</v>
      </c>
      <c r="F45" s="2" t="inlineStr">
        <is>
          <t xml:space="preserve">100 nF 50V</t>
        </is>
      </c>
      <c r="G45" s="2" t="inlineStr">
        <is>
          <t xml:space="preserve">C_0603_1608Metric</t>
        </is>
      </c>
    </row>
    <row r="46">
      <c r="A46" s="3" t="inlineStr">
        <is>
          <t xml:space="preserve">C10</t>
        </is>
      </c>
      <c r="B46" s="14">
        <v>125.075</v>
      </c>
      <c r="C46" s="14">
        <v>-100.69</v>
      </c>
      <c r="D46" s="3" t="inlineStr">
        <is>
          <t xml:space="preserve">Top</t>
        </is>
      </c>
      <c r="E46" s="7">
        <v>0</v>
      </c>
      <c r="F46" s="3" t="inlineStr">
        <is>
          <t xml:space="preserve">10 uF 50V</t>
        </is>
      </c>
      <c r="G46" s="3" t="inlineStr">
        <is>
          <t xml:space="preserve">C_1206_3216Metric</t>
        </is>
      </c>
    </row>
    <row r="47">
      <c r="A47" s="2" t="inlineStr">
        <is>
          <t xml:space="preserve">C11</t>
        </is>
      </c>
      <c r="B47" s="13">
        <v>125.775</v>
      </c>
      <c r="C47" s="13">
        <v>-102.94</v>
      </c>
      <c r="D47" s="2" t="inlineStr">
        <is>
          <t xml:space="preserve">Top</t>
        </is>
      </c>
      <c r="E47" s="6">
        <v>0</v>
      </c>
      <c r="F47" s="2" t="inlineStr">
        <is>
          <t xml:space="preserve">1 uF 50V</t>
        </is>
      </c>
      <c r="G47" s="2" t="inlineStr">
        <is>
          <t xml:space="preserve">C_0603_1608Metric</t>
        </is>
      </c>
    </row>
    <row r="48">
      <c r="A48" s="3" t="inlineStr">
        <is>
          <t xml:space="preserve">C12</t>
        </is>
      </c>
      <c r="B48" s="14">
        <v>131.25</v>
      </c>
      <c r="C48" s="14">
        <v>-101.875</v>
      </c>
      <c r="D48" s="3" t="inlineStr">
        <is>
          <t xml:space="preserve">Top</t>
        </is>
      </c>
      <c r="E48" s="7">
        <v>0</v>
      </c>
      <c r="F48" s="3" t="inlineStr">
        <is>
          <t xml:space="preserve">100 nF 50V</t>
        </is>
      </c>
      <c r="G48" s="3" t="inlineStr">
        <is>
          <t xml:space="preserve">C_0603_1608Metric</t>
        </is>
      </c>
    </row>
    <row r="49">
      <c r="A49" s="2" t="inlineStr">
        <is>
          <t xml:space="preserve">C15</t>
        </is>
      </c>
      <c r="B49" s="13">
        <v>125.425</v>
      </c>
      <c r="C49" s="13">
        <v>-108.257202</v>
      </c>
      <c r="D49" s="2" t="inlineStr">
        <is>
          <t xml:space="preserve">Top</t>
        </is>
      </c>
      <c r="E49" s="6">
        <v>0</v>
      </c>
      <c r="F49" s="2" t="inlineStr">
        <is>
          <t xml:space="preserve">100 nF 50V</t>
        </is>
      </c>
      <c r="G49" s="2" t="inlineStr">
        <is>
          <t xml:space="preserve">C_0603_1608Metric</t>
        </is>
      </c>
    </row>
    <row r="50">
      <c r="A50" s="3" t="inlineStr">
        <is>
          <t xml:space="preserve">C17</t>
        </is>
      </c>
      <c r="B50" s="14">
        <v>131.875</v>
      </c>
      <c r="C50" s="14">
        <v>-109.757202</v>
      </c>
      <c r="D50" s="3" t="inlineStr">
        <is>
          <t xml:space="preserve">Top</t>
        </is>
      </c>
      <c r="E50" s="7">
        <v>0</v>
      </c>
      <c r="F50" s="3" t="inlineStr">
        <is>
          <t xml:space="preserve">22 uF 16V</t>
        </is>
      </c>
      <c r="G50" s="3" t="inlineStr">
        <is>
          <t xml:space="preserve">C_1206_3216Metric</t>
        </is>
      </c>
    </row>
    <row r="51">
      <c r="A51" s="2" t="inlineStr">
        <is>
          <t xml:space="preserve">C18</t>
        </is>
      </c>
      <c r="B51" s="13">
        <v>135.7</v>
      </c>
      <c r="C51" s="13">
        <v>-111.232202</v>
      </c>
      <c r="D51" s="2" t="inlineStr">
        <is>
          <t xml:space="preserve">Top</t>
        </is>
      </c>
      <c r="E51" s="6">
        <v>90</v>
      </c>
      <c r="F51" s="2" t="inlineStr">
        <is>
          <t xml:space="preserve">22 uF 16V</t>
        </is>
      </c>
      <c r="G51" s="2" t="inlineStr">
        <is>
          <t xml:space="preserve">C_1206_3216Metric</t>
        </is>
      </c>
    </row>
    <row r="52">
      <c r="A52" s="3" t="inlineStr">
        <is>
          <t xml:space="preserve">C19</t>
        </is>
      </c>
      <c r="B52" s="14">
        <v>138.2</v>
      </c>
      <c r="C52" s="14">
        <v>-110.532202</v>
      </c>
      <c r="D52" s="3" t="inlineStr">
        <is>
          <t xml:space="preserve">Top</t>
        </is>
      </c>
      <c r="E52" s="7">
        <v>90</v>
      </c>
      <c r="F52" s="3" t="inlineStr">
        <is>
          <t xml:space="preserve">100 nF 50V</t>
        </is>
      </c>
      <c r="G52" s="3" t="inlineStr">
        <is>
          <t xml:space="preserve">C_0603_1608Metric</t>
        </is>
      </c>
    </row>
    <row r="53">
      <c r="A53" s="2" t="inlineStr">
        <is>
          <t xml:space="preserve">C20</t>
        </is>
      </c>
      <c r="B53" s="13">
        <v>132.575</v>
      </c>
      <c r="C53" s="13">
        <v>-111.947202</v>
      </c>
      <c r="D53" s="2" t="inlineStr">
        <is>
          <t xml:space="preserve">Top</t>
        </is>
      </c>
      <c r="E53" s="6">
        <v>0</v>
      </c>
      <c r="F53" s="2" t="inlineStr">
        <is>
          <t xml:space="preserve">56 pF 50V</t>
        </is>
      </c>
      <c r="G53" s="2" t="inlineStr">
        <is>
          <t xml:space="preserve">C_0603_1608Metric</t>
        </is>
      </c>
    </row>
    <row r="54">
      <c r="A54" s="3" t="inlineStr">
        <is>
          <t xml:space="preserve">C30</t>
        </is>
      </c>
      <c r="B54" s="14">
        <v>157.7</v>
      </c>
      <c r="C54" s="14">
        <v>-80.945</v>
      </c>
      <c r="D54" s="3" t="inlineStr">
        <is>
          <t xml:space="preserve">Top</t>
        </is>
      </c>
      <c r="E54" s="7">
        <v>270</v>
      </c>
      <c r="F54" s="3" t="inlineStr">
        <is>
          <t xml:space="preserve">1 uF 50V</t>
        </is>
      </c>
      <c r="G54" s="3" t="inlineStr">
        <is>
          <t xml:space="preserve">C_0603_1608Metric</t>
        </is>
      </c>
    </row>
    <row r="55">
      <c r="A55" s="2" t="inlineStr">
        <is>
          <t xml:space="preserve">C31</t>
        </is>
      </c>
      <c r="B55" s="13">
        <v>157.7</v>
      </c>
      <c r="C55" s="13">
        <v>-86.305</v>
      </c>
      <c r="D55" s="2" t="inlineStr">
        <is>
          <t xml:space="preserve">Top</t>
        </is>
      </c>
      <c r="E55" s="6">
        <v>90</v>
      </c>
      <c r="F55" s="2" t="inlineStr">
        <is>
          <t xml:space="preserve">100 nF 50V</t>
        </is>
      </c>
      <c r="G55" s="2" t="inlineStr">
        <is>
          <t xml:space="preserve">C_0603_1608Metric</t>
        </is>
      </c>
    </row>
    <row r="56">
      <c r="A56" s="3" t="inlineStr">
        <is>
          <t xml:space="preserve">C32</t>
        </is>
      </c>
      <c r="B56" s="14">
        <v>152.25</v>
      </c>
      <c r="C56" s="14">
        <v>-86.32</v>
      </c>
      <c r="D56" s="3" t="inlineStr">
        <is>
          <t xml:space="preserve">Top</t>
        </is>
      </c>
      <c r="E56" s="7">
        <v>270</v>
      </c>
      <c r="F56" s="3" t="inlineStr">
        <is>
          <t xml:space="preserve">100 uF 50V</t>
        </is>
      </c>
      <c r="G56" s="3" t="inlineStr">
        <is>
          <t xml:space="preserve">CP_Elec_6.3x7.7</t>
        </is>
      </c>
    </row>
    <row r="57">
      <c r="A57" s="2" t="inlineStr">
        <is>
          <t xml:space="preserve">C33</t>
        </is>
      </c>
      <c r="B57" s="13">
        <v>143.8</v>
      </c>
      <c r="C57" s="13">
        <v>-79.347202</v>
      </c>
      <c r="D57" s="2" t="inlineStr">
        <is>
          <t xml:space="preserve">Top</t>
        </is>
      </c>
      <c r="E57" s="6">
        <v>270</v>
      </c>
      <c r="F57" s="2" t="inlineStr">
        <is>
          <t xml:space="preserve">10 uF 50V</t>
        </is>
      </c>
      <c r="G57" s="2" t="inlineStr">
        <is>
          <t xml:space="preserve">C_1206_3216Metric</t>
        </is>
      </c>
    </row>
    <row r="58">
      <c r="A58" s="3" t="inlineStr">
        <is>
          <t xml:space="preserve">C34</t>
        </is>
      </c>
      <c r="B58" s="14">
        <v>146.9</v>
      </c>
      <c r="C58" s="14">
        <v>-79.347202</v>
      </c>
      <c r="D58" s="3" t="inlineStr">
        <is>
          <t xml:space="preserve">Top</t>
        </is>
      </c>
      <c r="E58" s="7">
        <v>270</v>
      </c>
      <c r="F58" s="3" t="inlineStr">
        <is>
          <t xml:space="preserve">10 uF 50V</t>
        </is>
      </c>
      <c r="G58" s="3" t="inlineStr">
        <is>
          <t xml:space="preserve">C_1206_3216Metric</t>
        </is>
      </c>
    </row>
    <row r="59">
      <c r="A59" s="2" t="inlineStr">
        <is>
          <t xml:space="preserve">C35</t>
        </is>
      </c>
      <c r="B59" s="13">
        <v>150.15</v>
      </c>
      <c r="C59" s="13">
        <v>-77.757202</v>
      </c>
      <c r="D59" s="2" t="inlineStr">
        <is>
          <t xml:space="preserve">Top</t>
        </is>
      </c>
      <c r="E59" s="6">
        <v>180</v>
      </c>
      <c r="F59" s="2" t="inlineStr">
        <is>
          <t xml:space="preserve">1 uF 50V</t>
        </is>
      </c>
      <c r="G59" s="2" t="inlineStr">
        <is>
          <t xml:space="preserve">C_0603_1608Metric</t>
        </is>
      </c>
    </row>
    <row r="60">
      <c r="A60" s="3" t="inlineStr">
        <is>
          <t xml:space="preserve">C36</t>
        </is>
      </c>
      <c r="B60" s="14">
        <v>139.075</v>
      </c>
      <c r="C60" s="14">
        <v>-84.87</v>
      </c>
      <c r="D60" s="3" t="inlineStr">
        <is>
          <t xml:space="preserve">Top</t>
        </is>
      </c>
      <c r="E60" s="7">
        <v>180</v>
      </c>
      <c r="F60" s="3" t="inlineStr">
        <is>
          <t xml:space="preserve">1 uF 50V</t>
        </is>
      </c>
      <c r="G60" s="3" t="inlineStr">
        <is>
          <t xml:space="preserve">C_0603_1608Metric</t>
        </is>
      </c>
    </row>
    <row r="61">
      <c r="A61" s="2" t="inlineStr">
        <is>
          <t xml:space="preserve">C37</t>
        </is>
      </c>
      <c r="B61" s="13">
        <v>150.15</v>
      </c>
      <c r="C61" s="13">
        <v>-79.557202</v>
      </c>
      <c r="D61" s="2" t="inlineStr">
        <is>
          <t xml:space="preserve">Top</t>
        </is>
      </c>
      <c r="E61" s="6">
        <v>180</v>
      </c>
      <c r="F61" s="2" t="inlineStr">
        <is>
          <t xml:space="preserve">1 uF 50V</t>
        </is>
      </c>
      <c r="G61" s="2" t="inlineStr">
        <is>
          <t xml:space="preserve">C_0603_1608Metric</t>
        </is>
      </c>
    </row>
    <row r="62">
      <c r="A62" s="3" t="inlineStr">
        <is>
          <t xml:space="preserve">C38</t>
        </is>
      </c>
      <c r="B62" s="14">
        <v>157.7</v>
      </c>
      <c r="C62" s="14">
        <v>-91.945</v>
      </c>
      <c r="D62" s="3" t="inlineStr">
        <is>
          <t xml:space="preserve">Top</t>
        </is>
      </c>
      <c r="E62" s="7">
        <v>270</v>
      </c>
      <c r="F62" s="3" t="inlineStr">
        <is>
          <t xml:space="preserve">1 uF 50V</t>
        </is>
      </c>
      <c r="G62" s="3" t="inlineStr">
        <is>
          <t xml:space="preserve">C_0603_1608Metric</t>
        </is>
      </c>
    </row>
    <row r="63">
      <c r="A63" s="2" t="inlineStr">
        <is>
          <t xml:space="preserve">C39</t>
        </is>
      </c>
      <c r="B63" s="13">
        <v>157.7</v>
      </c>
      <c r="C63" s="13">
        <v>-97.305</v>
      </c>
      <c r="D63" s="2" t="inlineStr">
        <is>
          <t xml:space="preserve">Top</t>
        </is>
      </c>
      <c r="E63" s="6">
        <v>90</v>
      </c>
      <c r="F63" s="2" t="inlineStr">
        <is>
          <t xml:space="preserve">100 nF 50V</t>
        </is>
      </c>
      <c r="G63" s="2" t="inlineStr">
        <is>
          <t xml:space="preserve">C_0603_1608Metric</t>
        </is>
      </c>
    </row>
    <row r="64">
      <c r="A64" s="3" t="inlineStr">
        <is>
          <t xml:space="preserve">C40</t>
        </is>
      </c>
      <c r="B64" s="14">
        <v>134.575</v>
      </c>
      <c r="C64" s="14">
        <v>-98.9</v>
      </c>
      <c r="D64" s="3" t="inlineStr">
        <is>
          <t xml:space="preserve">Top</t>
        </is>
      </c>
      <c r="E64" s="7">
        <v>0</v>
      </c>
      <c r="F64" s="3" t="inlineStr">
        <is>
          <t xml:space="preserve">1 uF 50V</t>
        </is>
      </c>
      <c r="G64" s="3" t="inlineStr">
        <is>
          <t xml:space="preserve">C_0603_1608Metric</t>
        </is>
      </c>
    </row>
    <row r="65">
      <c r="A65" s="2" t="inlineStr">
        <is>
          <t xml:space="preserve">C41</t>
        </is>
      </c>
      <c r="B65" s="13">
        <v>152.25</v>
      </c>
      <c r="C65" s="13">
        <v>-97.32</v>
      </c>
      <c r="D65" s="2" t="inlineStr">
        <is>
          <t xml:space="preserve">Top</t>
        </is>
      </c>
      <c r="E65" s="6">
        <v>270</v>
      </c>
      <c r="F65" s="2" t="inlineStr">
        <is>
          <t xml:space="preserve">100 uF 50V</t>
        </is>
      </c>
      <c r="G65" s="2" t="inlineStr">
        <is>
          <t xml:space="preserve">CP_Elec_6.3x7.7</t>
        </is>
      </c>
    </row>
    <row r="66">
      <c r="A66" s="3" t="inlineStr">
        <is>
          <t xml:space="preserve">C42</t>
        </is>
      </c>
      <c r="B66" s="14">
        <v>134.575</v>
      </c>
      <c r="C66" s="14">
        <v>-100.45</v>
      </c>
      <c r="D66" s="3" t="inlineStr">
        <is>
          <t xml:space="preserve">Top</t>
        </is>
      </c>
      <c r="E66" s="7">
        <v>0</v>
      </c>
      <c r="F66" s="3" t="inlineStr">
        <is>
          <t xml:space="preserve">100 nF 50V</t>
        </is>
      </c>
      <c r="G66" s="3" t="inlineStr">
        <is>
          <t xml:space="preserve">C_0603_1608Metric</t>
        </is>
      </c>
    </row>
    <row r="67">
      <c r="A67" s="2" t="inlineStr">
        <is>
          <t xml:space="preserve">C43</t>
        </is>
      </c>
      <c r="B67" s="13">
        <v>136.825</v>
      </c>
      <c r="C67" s="13">
        <v>-102.5</v>
      </c>
      <c r="D67" s="2" t="inlineStr">
        <is>
          <t xml:space="preserve">Top</t>
        </is>
      </c>
      <c r="E67" s="6">
        <v>180</v>
      </c>
      <c r="F67" s="2" t="inlineStr">
        <is>
          <t xml:space="preserve">10 uF 50V</t>
        </is>
      </c>
      <c r="G67" s="2" t="inlineStr">
        <is>
          <t xml:space="preserve">C_1206_3216Metric</t>
        </is>
      </c>
    </row>
    <row r="68">
      <c r="A68" s="3" t="inlineStr">
        <is>
          <t xml:space="preserve">C44</t>
        </is>
      </c>
      <c r="B68" s="14">
        <v>157.7</v>
      </c>
      <c r="C68" s="14">
        <v>-102.805</v>
      </c>
      <c r="D68" s="3" t="inlineStr">
        <is>
          <t xml:space="preserve">Top</t>
        </is>
      </c>
      <c r="E68" s="7">
        <v>270</v>
      </c>
      <c r="F68" s="3" t="inlineStr">
        <is>
          <t xml:space="preserve">1 uF 50V</t>
        </is>
      </c>
      <c r="G68" s="3" t="inlineStr">
        <is>
          <t xml:space="preserve">C_0603_1608Metric</t>
        </is>
      </c>
    </row>
    <row r="69">
      <c r="A69" s="2" t="inlineStr">
        <is>
          <t xml:space="preserve">C45</t>
        </is>
      </c>
      <c r="B69" s="13">
        <v>157.7</v>
      </c>
      <c r="C69" s="13">
        <v>-108.215</v>
      </c>
      <c r="D69" s="2" t="inlineStr">
        <is>
          <t xml:space="preserve">Top</t>
        </is>
      </c>
      <c r="E69" s="6">
        <v>90</v>
      </c>
      <c r="F69" s="2" t="inlineStr">
        <is>
          <t xml:space="preserve">100 nF 50V</t>
        </is>
      </c>
      <c r="G69" s="2" t="inlineStr">
        <is>
          <t xml:space="preserve">C_0603_1608Metric</t>
        </is>
      </c>
    </row>
    <row r="70">
      <c r="A70" s="3" t="inlineStr">
        <is>
          <t xml:space="preserve">C46</t>
        </is>
      </c>
      <c r="B70" s="14">
        <v>152.25</v>
      </c>
      <c r="C70" s="14">
        <v>-108.23</v>
      </c>
      <c r="D70" s="3" t="inlineStr">
        <is>
          <t xml:space="preserve">Top</t>
        </is>
      </c>
      <c r="E70" s="7">
        <v>270</v>
      </c>
      <c r="F70" s="3" t="inlineStr">
        <is>
          <t xml:space="preserve">100 uF 50V</t>
        </is>
      </c>
      <c r="G70" s="3" t="inlineStr">
        <is>
          <t xml:space="preserve">CP_Elec_6.3x7.7</t>
        </is>
      </c>
    </row>
    <row r="71">
      <c r="A71" s="2" t="inlineStr">
        <is>
          <t xml:space="preserve">D1</t>
        </is>
      </c>
      <c r="B71" s="13">
        <v>126.3</v>
      </c>
      <c r="C71" s="13">
        <v>-97.33</v>
      </c>
      <c r="D71" s="2" t="inlineStr">
        <is>
          <t xml:space="preserve">Top</t>
        </is>
      </c>
      <c r="E71" s="6">
        <v>180</v>
      </c>
      <c r="F71" s="2" t="inlineStr">
        <is>
          <t xml:space="preserve">SMBJ20A_C294873</t>
        </is>
      </c>
      <c r="G71" s="2" t="inlineStr">
        <is>
          <t xml:space="preserve">SMB_L4.6-W3.6-LS5.3-RD</t>
        </is>
      </c>
    </row>
    <row r="72">
      <c r="A72" s="3" t="inlineStr">
        <is>
          <t xml:space="preserve">F1</t>
        </is>
      </c>
      <c r="B72" s="14">
        <v>121.02</v>
      </c>
      <c r="C72" s="14">
        <v>-87.76</v>
      </c>
      <c r="D72" s="3" t="inlineStr">
        <is>
          <t xml:space="preserve">Top</t>
        </is>
      </c>
      <c r="E72" s="7">
        <v>0</v>
      </c>
      <c r="F72" s="3" t="inlineStr">
        <is>
          <t xml:space="preserve">BSMD1206C-2200T</t>
        </is>
      </c>
      <c r="G72" s="3" t="inlineStr">
        <is>
          <t xml:space="preserve">F1206</t>
        </is>
      </c>
    </row>
    <row r="73">
      <c r="A73" s="2" t="inlineStr">
        <is>
          <t xml:space="preserve">L1</t>
        </is>
      </c>
      <c r="B73" s="13">
        <v>130.95</v>
      </c>
      <c r="C73" s="13">
        <v>-105.557202</v>
      </c>
      <c r="D73" s="2" t="inlineStr">
        <is>
          <t xml:space="preserve">Top</t>
        </is>
      </c>
      <c r="E73" s="6">
        <v>0</v>
      </c>
      <c r="F73" s="2" t="inlineStr">
        <is>
          <t xml:space="preserve">10 uH 2A</t>
        </is>
      </c>
      <c r="G73" s="2" t="inlineStr">
        <is>
          <t xml:space="preserve">IND-SMD_L5.4-W5.1</t>
        </is>
      </c>
    </row>
    <row r="74">
      <c r="A74" s="3" t="inlineStr">
        <is>
          <t xml:space="preserve">LED1</t>
        </is>
      </c>
      <c r="B74" s="14">
        <v>143.025</v>
      </c>
      <c r="C74" s="14">
        <v>-102.875</v>
      </c>
      <c r="D74" s="3" t="inlineStr">
        <is>
          <t xml:space="preserve">Top</t>
        </is>
      </c>
      <c r="E74" s="7">
        <v>180</v>
      </c>
      <c r="F74" s="3" t="inlineStr">
        <is>
          <t xml:space="preserve">YLED0805R</t>
        </is>
      </c>
      <c r="G74" s="3" t="inlineStr">
        <is>
          <t xml:space="preserve">LED0805-R-RD_RED</t>
        </is>
      </c>
    </row>
    <row r="75">
      <c r="A75" s="2" t="inlineStr">
        <is>
          <t xml:space="preserve">Q1</t>
        </is>
      </c>
      <c r="B75" s="13">
        <v>162.65</v>
      </c>
      <c r="C75" s="13">
        <v>-83.62</v>
      </c>
      <c r="D75" s="2" t="inlineStr">
        <is>
          <t xml:space="preserve">Top</t>
        </is>
      </c>
      <c r="E75" s="6">
        <v>90</v>
      </c>
      <c r="F75" s="2" t="inlineStr">
        <is>
          <t xml:space="preserve">DON100N04</t>
        </is>
      </c>
      <c r="G75" s="2" t="inlineStr">
        <is>
          <t xml:space="preserve">DFN-8_L5.8-W4.9-P1.27-LS6.1-BL-2</t>
        </is>
      </c>
    </row>
    <row r="76">
      <c r="A76" s="3" t="inlineStr">
        <is>
          <t xml:space="preserve">Q2</t>
        </is>
      </c>
      <c r="B76" s="14">
        <v>171.7</v>
      </c>
      <c r="C76" s="14">
        <v>-84.76</v>
      </c>
      <c r="D76" s="3" t="inlineStr">
        <is>
          <t xml:space="preserve">Top</t>
        </is>
      </c>
      <c r="E76" s="7">
        <v>0</v>
      </c>
      <c r="F76" s="3" t="inlineStr">
        <is>
          <t xml:space="preserve">DON100N04</t>
        </is>
      </c>
      <c r="G76" s="3" t="inlineStr">
        <is>
          <t xml:space="preserve">DFN-8_L5.8-W4.9-P1.27-LS6.1-BL-2</t>
        </is>
      </c>
    </row>
    <row r="77">
      <c r="A77" s="2" t="inlineStr">
        <is>
          <t xml:space="preserve">Q3</t>
        </is>
      </c>
      <c r="B77" s="13">
        <v>162.65</v>
      </c>
      <c r="C77" s="13">
        <v>-94.62</v>
      </c>
      <c r="D77" s="2" t="inlineStr">
        <is>
          <t xml:space="preserve">Top</t>
        </is>
      </c>
      <c r="E77" s="6">
        <v>90</v>
      </c>
      <c r="F77" s="2" t="inlineStr">
        <is>
          <t xml:space="preserve">DON100N04</t>
        </is>
      </c>
      <c r="G77" s="2" t="inlineStr">
        <is>
          <t xml:space="preserve">DFN-8_L5.8-W4.9-P1.27-LS6.1-BL-2</t>
        </is>
      </c>
    </row>
    <row r="78">
      <c r="A78" s="3" t="inlineStr">
        <is>
          <t xml:space="preserve">Q4</t>
        </is>
      </c>
      <c r="B78" s="14">
        <v>171.7</v>
      </c>
      <c r="C78" s="14">
        <v>-95.76</v>
      </c>
      <c r="D78" s="3" t="inlineStr">
        <is>
          <t xml:space="preserve">Top</t>
        </is>
      </c>
      <c r="E78" s="7">
        <v>0</v>
      </c>
      <c r="F78" s="3" t="inlineStr">
        <is>
          <t xml:space="preserve">DON100N04</t>
        </is>
      </c>
      <c r="G78" s="3" t="inlineStr">
        <is>
          <t xml:space="preserve">DFN-8_L5.8-W4.9-P1.27-LS6.1-BL-2</t>
        </is>
      </c>
    </row>
    <row r="79">
      <c r="A79" s="2" t="inlineStr">
        <is>
          <t xml:space="preserve">Q5</t>
        </is>
      </c>
      <c r="B79" s="13">
        <v>162.65</v>
      </c>
      <c r="C79" s="13">
        <v>-105.53</v>
      </c>
      <c r="D79" s="2" t="inlineStr">
        <is>
          <t xml:space="preserve">Top</t>
        </is>
      </c>
      <c r="E79" s="6">
        <v>90</v>
      </c>
      <c r="F79" s="2" t="inlineStr">
        <is>
          <t xml:space="preserve">DON100N04</t>
        </is>
      </c>
      <c r="G79" s="2" t="inlineStr">
        <is>
          <t xml:space="preserve">DFN-8_L5.8-W4.9-P1.27-LS6.1-BL-2</t>
        </is>
      </c>
    </row>
    <row r="80">
      <c r="A80" s="3" t="inlineStr">
        <is>
          <t xml:space="preserve">Q6</t>
        </is>
      </c>
      <c r="B80" s="14">
        <v>171.7</v>
      </c>
      <c r="C80" s="14">
        <v>-106.67</v>
      </c>
      <c r="D80" s="3" t="inlineStr">
        <is>
          <t xml:space="preserve">Top</t>
        </is>
      </c>
      <c r="E80" s="7">
        <v>0</v>
      </c>
      <c r="F80" s="3" t="inlineStr">
        <is>
          <t xml:space="preserve">DON100N04</t>
        </is>
      </c>
      <c r="G80" s="3" t="inlineStr">
        <is>
          <t xml:space="preserve">DFN-8_L5.8-W4.9-P1.27-LS6.1-BL-2</t>
        </is>
      </c>
    </row>
    <row r="81">
      <c r="A81" s="2" t="inlineStr">
        <is>
          <t xml:space="preserve">Q7</t>
        </is>
      </c>
      <c r="B81" s="13">
        <v>127.71</v>
      </c>
      <c r="C81" s="13">
        <v>-92.202202</v>
      </c>
      <c r="D81" s="2" t="inlineStr">
        <is>
          <t xml:space="preserve">Top</t>
        </is>
      </c>
      <c r="E81" s="6">
        <v>90</v>
      </c>
      <c r="F81" s="2" t="inlineStr">
        <is>
          <t xml:space="preserve">HSBA4119</t>
        </is>
      </c>
      <c r="G81" s="2" t="inlineStr">
        <is>
          <t xml:space="preserve">DFN-8_L5.7-W5.1-P1.27-LS6.1-BL</t>
        </is>
      </c>
    </row>
    <row r="82">
      <c r="A82" s="3" t="inlineStr">
        <is>
          <t xml:space="preserve">R2</t>
        </is>
      </c>
      <c r="B82" s="14">
        <v>179.25</v>
      </c>
      <c r="C82" s="14">
        <v>-88.3075</v>
      </c>
      <c r="D82" s="3" t="inlineStr">
        <is>
          <t xml:space="preserve">Top</t>
        </is>
      </c>
      <c r="E82" s="7">
        <v>270</v>
      </c>
      <c r="F82" s="3" t="inlineStr">
        <is>
          <t xml:space="preserve">20K Ohm %1</t>
        </is>
      </c>
      <c r="G82" s="3" t="inlineStr">
        <is>
          <t xml:space="preserve">R_0805_2012Metric</t>
        </is>
      </c>
    </row>
    <row r="83">
      <c r="A83" s="2" t="inlineStr">
        <is>
          <t xml:space="preserve">R3</t>
        </is>
      </c>
      <c r="B83" s="13">
        <v>180.1375</v>
      </c>
      <c r="C83" s="13">
        <v>-91.62</v>
      </c>
      <c r="D83" s="2" t="inlineStr">
        <is>
          <t xml:space="preserve">Top</t>
        </is>
      </c>
      <c r="E83" s="6">
        <v>0</v>
      </c>
      <c r="F83" s="2" t="inlineStr">
        <is>
          <t xml:space="preserve">4.99K Ohm %1</t>
        </is>
      </c>
      <c r="G83" s="2" t="inlineStr">
        <is>
          <t xml:space="preserve">R_0805_2012Metric</t>
        </is>
      </c>
    </row>
    <row r="84">
      <c r="A84" s="3" t="inlineStr">
        <is>
          <t xml:space="preserve">R4</t>
        </is>
      </c>
      <c r="B84" s="14">
        <v>181.55</v>
      </c>
      <c r="C84" s="14">
        <v>-88.3075</v>
      </c>
      <c r="D84" s="3" t="inlineStr">
        <is>
          <t xml:space="preserve">Top</t>
        </is>
      </c>
      <c r="E84" s="7">
        <v>270</v>
      </c>
      <c r="F84" s="3" t="inlineStr">
        <is>
          <t xml:space="preserve">20K Ohm %1</t>
        </is>
      </c>
      <c r="G84" s="3" t="inlineStr">
        <is>
          <t xml:space="preserve">R_0805_2012Metric</t>
        </is>
      </c>
    </row>
    <row r="85">
      <c r="A85" s="2" t="inlineStr">
        <is>
          <t xml:space="preserve">R5</t>
        </is>
      </c>
      <c r="B85" s="13">
        <v>164.6375</v>
      </c>
      <c r="C85" s="13">
        <v>-79.67</v>
      </c>
      <c r="D85" s="2" t="inlineStr">
        <is>
          <t xml:space="preserve">Top</t>
        </is>
      </c>
      <c r="E85" s="6">
        <v>0</v>
      </c>
      <c r="F85" s="2" t="inlineStr">
        <is>
          <t xml:space="preserve">15 Ohm</t>
        </is>
      </c>
      <c r="G85" s="2" t="inlineStr">
        <is>
          <t xml:space="preserve">R_0805_2012Metric</t>
        </is>
      </c>
    </row>
    <row r="86">
      <c r="A86" s="3" t="inlineStr">
        <is>
          <t xml:space="preserve">R7</t>
        </is>
      </c>
      <c r="B86" s="14">
        <v>175.7</v>
      </c>
      <c r="C86" s="14">
        <v>-88.5725</v>
      </c>
      <c r="D86" s="3" t="inlineStr">
        <is>
          <t xml:space="preserve">Top</t>
        </is>
      </c>
      <c r="E86" s="7">
        <v>270</v>
      </c>
      <c r="F86" s="3" t="inlineStr">
        <is>
          <t xml:space="preserve">15 Ohm</t>
        </is>
      </c>
      <c r="G86" s="3" t="inlineStr">
        <is>
          <t xml:space="preserve">R_0805_2012Metric</t>
        </is>
      </c>
    </row>
    <row r="87">
      <c r="A87" s="2" t="inlineStr">
        <is>
          <t xml:space="preserve">R8</t>
        </is>
      </c>
      <c r="B87" s="13">
        <v>172.6875</v>
      </c>
      <c r="C87" s="13">
        <v>-89.62</v>
      </c>
      <c r="D87" s="2" t="inlineStr">
        <is>
          <t xml:space="preserve">Top</t>
        </is>
      </c>
      <c r="E87" s="6">
        <v>180</v>
      </c>
      <c r="F87" s="2" t="inlineStr">
        <is>
          <t xml:space="preserve">10K Ohm</t>
        </is>
      </c>
      <c r="G87" s="2" t="inlineStr">
        <is>
          <t xml:space="preserve">R_0805_2012Metric</t>
        </is>
      </c>
    </row>
    <row r="88">
      <c r="A88" s="3" t="inlineStr">
        <is>
          <t xml:space="preserve">R9</t>
        </is>
      </c>
      <c r="B88" s="14">
        <v>167.7</v>
      </c>
      <c r="C88" s="14">
        <v>-82.1925</v>
      </c>
      <c r="D88" s="3" t="inlineStr">
        <is>
          <t xml:space="preserve">Top</t>
        </is>
      </c>
      <c r="E88" s="7">
        <v>270</v>
      </c>
      <c r="F88" s="3" t="inlineStr">
        <is>
          <t xml:space="preserve">10K Ohm</t>
        </is>
      </c>
      <c r="G88" s="3" t="inlineStr">
        <is>
          <t xml:space="preserve">R_0805_2012Metric</t>
        </is>
      </c>
    </row>
    <row r="89">
      <c r="A89" s="2" t="inlineStr">
        <is>
          <t xml:space="preserve">R10</t>
        </is>
      </c>
      <c r="B89" s="13">
        <v>179.25</v>
      </c>
      <c r="C89" s="13">
        <v>-99.495</v>
      </c>
      <c r="D89" s="2" t="inlineStr">
        <is>
          <t xml:space="preserve">Top</t>
        </is>
      </c>
      <c r="E89" s="6">
        <v>270</v>
      </c>
      <c r="F89" s="2" t="inlineStr">
        <is>
          <t xml:space="preserve">20K Ohm %1</t>
        </is>
      </c>
      <c r="G89" s="2" t="inlineStr">
        <is>
          <t xml:space="preserve">R_0805_2012Metric</t>
        </is>
      </c>
    </row>
    <row r="90">
      <c r="A90" s="3" t="inlineStr">
        <is>
          <t xml:space="preserve">R11</t>
        </is>
      </c>
      <c r="B90" s="14">
        <v>180.1625</v>
      </c>
      <c r="C90" s="14">
        <v>-102.8075</v>
      </c>
      <c r="D90" s="3" t="inlineStr">
        <is>
          <t xml:space="preserve">Top</t>
        </is>
      </c>
      <c r="E90" s="7">
        <v>0</v>
      </c>
      <c r="F90" s="3" t="inlineStr">
        <is>
          <t xml:space="preserve">4.99K Ohm %1</t>
        </is>
      </c>
      <c r="G90" s="3" t="inlineStr">
        <is>
          <t xml:space="preserve">R_0805_2012Metric</t>
        </is>
      </c>
    </row>
    <row r="91">
      <c r="A91" s="2" t="inlineStr">
        <is>
          <t xml:space="preserve">R13</t>
        </is>
      </c>
      <c r="B91" s="13">
        <v>181.55</v>
      </c>
      <c r="C91" s="13">
        <v>-99.495</v>
      </c>
      <c r="D91" s="2" t="inlineStr">
        <is>
          <t xml:space="preserve">Top</t>
        </is>
      </c>
      <c r="E91" s="6">
        <v>270</v>
      </c>
      <c r="F91" s="2" t="inlineStr">
        <is>
          <t xml:space="preserve">20K Ohm %1</t>
        </is>
      </c>
      <c r="G91" s="2" t="inlineStr">
        <is>
          <t xml:space="preserve">R_0805_2012Metric</t>
        </is>
      </c>
    </row>
    <row r="92">
      <c r="A92" s="3" t="inlineStr">
        <is>
          <t xml:space="preserve">R15</t>
        </is>
      </c>
      <c r="B92" s="14">
        <v>164.6375</v>
      </c>
      <c r="C92" s="14">
        <v>-90.695</v>
      </c>
      <c r="D92" s="3" t="inlineStr">
        <is>
          <t xml:space="preserve">Top</t>
        </is>
      </c>
      <c r="E92" s="7">
        <v>0</v>
      </c>
      <c r="F92" s="3" t="inlineStr">
        <is>
          <t xml:space="preserve">15 Ohm</t>
        </is>
      </c>
      <c r="G92" s="3" t="inlineStr">
        <is>
          <t xml:space="preserve">R_0805_2012Metric</t>
        </is>
      </c>
    </row>
    <row r="93">
      <c r="A93" s="2" t="inlineStr">
        <is>
          <t xml:space="preserve">R17</t>
        </is>
      </c>
      <c r="B93" s="13">
        <v>175.7</v>
      </c>
      <c r="C93" s="13">
        <v>-99.5725</v>
      </c>
      <c r="D93" s="2" t="inlineStr">
        <is>
          <t xml:space="preserve">Top</t>
        </is>
      </c>
      <c r="E93" s="6">
        <v>270</v>
      </c>
      <c r="F93" s="2" t="inlineStr">
        <is>
          <t xml:space="preserve">15 Ohm</t>
        </is>
      </c>
      <c r="G93" s="2" t="inlineStr">
        <is>
          <t xml:space="preserve">R_0805_2012Metric</t>
        </is>
      </c>
    </row>
    <row r="94">
      <c r="A94" s="3" t="inlineStr">
        <is>
          <t xml:space="preserve">R18</t>
        </is>
      </c>
      <c r="B94" s="14">
        <v>172.6875</v>
      </c>
      <c r="C94" s="14">
        <v>-100.4075</v>
      </c>
      <c r="D94" s="3" t="inlineStr">
        <is>
          <t xml:space="preserve">Top</t>
        </is>
      </c>
      <c r="E94" s="7">
        <v>180</v>
      </c>
      <c r="F94" s="3" t="inlineStr">
        <is>
          <t xml:space="preserve">10K Ohm</t>
        </is>
      </c>
      <c r="G94" s="3" t="inlineStr">
        <is>
          <t xml:space="preserve">R_0805_2012Metric</t>
        </is>
      </c>
    </row>
    <row r="95">
      <c r="A95" s="2" t="inlineStr">
        <is>
          <t xml:space="preserve">R19</t>
        </is>
      </c>
      <c r="B95" s="13">
        <v>167.7</v>
      </c>
      <c r="C95" s="13">
        <v>-93.2</v>
      </c>
      <c r="D95" s="2" t="inlineStr">
        <is>
          <t xml:space="preserve">Top</t>
        </is>
      </c>
      <c r="E95" s="6">
        <v>270</v>
      </c>
      <c r="F95" s="2" t="inlineStr">
        <is>
          <t xml:space="preserve">10K Ohm</t>
        </is>
      </c>
      <c r="G95" s="2" t="inlineStr">
        <is>
          <t xml:space="preserve">R_0805_2012Metric</t>
        </is>
      </c>
    </row>
    <row r="96">
      <c r="A96" s="3" t="inlineStr">
        <is>
          <t xml:space="preserve">R21</t>
        </is>
      </c>
      <c r="B96" s="14">
        <v>179.25</v>
      </c>
      <c r="C96" s="14">
        <v>-110.2925</v>
      </c>
      <c r="D96" s="3" t="inlineStr">
        <is>
          <t xml:space="preserve">Top</t>
        </is>
      </c>
      <c r="E96" s="7">
        <v>270</v>
      </c>
      <c r="F96" s="3" t="inlineStr">
        <is>
          <t xml:space="preserve">20K Ohm %1</t>
        </is>
      </c>
      <c r="G96" s="3" t="inlineStr">
        <is>
          <t xml:space="preserve">R_0805_2012Metric</t>
        </is>
      </c>
    </row>
    <row r="97">
      <c r="A97" s="2" t="inlineStr">
        <is>
          <t xml:space="preserve">R22</t>
        </is>
      </c>
      <c r="B97" s="13">
        <v>180.1625</v>
      </c>
      <c r="C97" s="13">
        <v>-113.73</v>
      </c>
      <c r="D97" s="2" t="inlineStr">
        <is>
          <t xml:space="preserve">Top</t>
        </is>
      </c>
      <c r="E97" s="6">
        <v>0</v>
      </c>
      <c r="F97" s="2" t="inlineStr">
        <is>
          <t xml:space="preserve">4.99K Ohm %1</t>
        </is>
      </c>
      <c r="G97" s="2" t="inlineStr">
        <is>
          <t xml:space="preserve">R_0805_2012Metric</t>
        </is>
      </c>
    </row>
    <row r="98">
      <c r="A98" s="3" t="inlineStr">
        <is>
          <t xml:space="preserve">R23</t>
        </is>
      </c>
      <c r="B98" s="14">
        <v>181.55</v>
      </c>
      <c r="C98" s="14">
        <v>-110.2925</v>
      </c>
      <c r="D98" s="3" t="inlineStr">
        <is>
          <t xml:space="preserve">Top</t>
        </is>
      </c>
      <c r="E98" s="7">
        <v>270</v>
      </c>
      <c r="F98" s="3" t="inlineStr">
        <is>
          <t xml:space="preserve">20K Ohm %1</t>
        </is>
      </c>
      <c r="G98" s="3" t="inlineStr">
        <is>
          <t xml:space="preserve">R_0805_2012Metric</t>
        </is>
      </c>
    </row>
    <row r="99">
      <c r="A99" s="2" t="inlineStr">
        <is>
          <t xml:space="preserve">R24</t>
        </is>
      </c>
      <c r="B99" s="13">
        <v>164.6375</v>
      </c>
      <c r="C99" s="13">
        <v>-101.58</v>
      </c>
      <c r="D99" s="2" t="inlineStr">
        <is>
          <t xml:space="preserve">Top</t>
        </is>
      </c>
      <c r="E99" s="6">
        <v>0</v>
      </c>
      <c r="F99" s="2" t="inlineStr">
        <is>
          <t xml:space="preserve">15 Ohm</t>
        </is>
      </c>
      <c r="G99" s="2" t="inlineStr">
        <is>
          <t xml:space="preserve">R_0805_2012Metric</t>
        </is>
      </c>
    </row>
    <row r="100">
      <c r="A100" s="3" t="inlineStr">
        <is>
          <t xml:space="preserve">R25</t>
        </is>
      </c>
      <c r="B100" s="14">
        <v>175.7</v>
      </c>
      <c r="C100" s="14">
        <v>-110.48</v>
      </c>
      <c r="D100" s="3" t="inlineStr">
        <is>
          <t xml:space="preserve">Top</t>
        </is>
      </c>
      <c r="E100" s="7">
        <v>270</v>
      </c>
      <c r="F100" s="3" t="inlineStr">
        <is>
          <t xml:space="preserve">15 Ohm</t>
        </is>
      </c>
      <c r="G100" s="3" t="inlineStr">
        <is>
          <t xml:space="preserve">R_0805_2012Metric</t>
        </is>
      </c>
    </row>
    <row r="101">
      <c r="A101" s="2" t="inlineStr">
        <is>
          <t xml:space="preserve">R26</t>
        </is>
      </c>
      <c r="B101" s="13">
        <v>172.6875</v>
      </c>
      <c r="C101" s="13">
        <v>-111.42</v>
      </c>
      <c r="D101" s="2" t="inlineStr">
        <is>
          <t xml:space="preserve">Top</t>
        </is>
      </c>
      <c r="E101" s="6">
        <v>180</v>
      </c>
      <c r="F101" s="2" t="inlineStr">
        <is>
          <t xml:space="preserve">10K Ohm</t>
        </is>
      </c>
      <c r="G101" s="2" t="inlineStr">
        <is>
          <t xml:space="preserve">R_0805_2012Metric</t>
        </is>
      </c>
    </row>
    <row r="102">
      <c r="A102" s="3" t="inlineStr">
        <is>
          <t xml:space="preserve">R27</t>
        </is>
      </c>
      <c r="B102" s="14">
        <v>167.7</v>
      </c>
      <c r="C102" s="14">
        <v>-103.9825</v>
      </c>
      <c r="D102" s="3" t="inlineStr">
        <is>
          <t xml:space="preserve">Top</t>
        </is>
      </c>
      <c r="E102" s="7">
        <v>270</v>
      </c>
      <c r="F102" s="3" t="inlineStr">
        <is>
          <t xml:space="preserve">10K Ohm</t>
        </is>
      </c>
      <c r="G102" s="3" t="inlineStr">
        <is>
          <t xml:space="preserve">R_0805_2012Metric</t>
        </is>
      </c>
    </row>
    <row r="103">
      <c r="A103" s="2" t="inlineStr">
        <is>
          <t xml:space="preserve">R29</t>
        </is>
      </c>
      <c r="B103" s="13">
        <v>118.975</v>
      </c>
      <c r="C103" s="13">
        <v>-109.825</v>
      </c>
      <c r="D103" s="2" t="inlineStr">
        <is>
          <t xml:space="preserve">Top</t>
        </is>
      </c>
      <c r="E103" s="6">
        <v>270</v>
      </c>
      <c r="F103" s="2" t="inlineStr">
        <is>
          <t xml:space="preserve">RK09Y11L0001</t>
        </is>
      </c>
      <c r="G103" s="2" t="inlineStr">
        <is>
          <t xml:space="preserve">RES-ADJ-TH_RK09Y11L0001</t>
        </is>
      </c>
    </row>
    <row r="104">
      <c r="A104" s="3" t="inlineStr">
        <is>
          <t xml:space="preserve">R30</t>
        </is>
      </c>
      <c r="B104" s="14">
        <v>132.4375</v>
      </c>
      <c r="C104" s="14">
        <v>-113.947202</v>
      </c>
      <c r="D104" s="3" t="inlineStr">
        <is>
          <t xml:space="preserve">Top</t>
        </is>
      </c>
      <c r="E104" s="7">
        <v>180</v>
      </c>
      <c r="F104" s="3" t="inlineStr">
        <is>
          <t xml:space="preserve">100K Ohm %1</t>
        </is>
      </c>
      <c r="G104" s="3" t="inlineStr">
        <is>
          <t xml:space="preserve">R_0805_2012Metric</t>
        </is>
      </c>
    </row>
    <row r="105">
      <c r="A105" s="2" t="inlineStr">
        <is>
          <t xml:space="preserve">R31</t>
        </is>
      </c>
      <c r="B105" s="13">
        <v>128.5875</v>
      </c>
      <c r="C105" s="13">
        <v>-113.947202</v>
      </c>
      <c r="D105" s="2" t="inlineStr">
        <is>
          <t xml:space="preserve">Top</t>
        </is>
      </c>
      <c r="E105" s="6">
        <v>180</v>
      </c>
      <c r="F105" s="2" t="inlineStr">
        <is>
          <t xml:space="preserve">22.1K Ohm  %1</t>
        </is>
      </c>
      <c r="G105" s="2" t="inlineStr">
        <is>
          <t xml:space="preserve">R_0805_2012Metric</t>
        </is>
      </c>
    </row>
    <row r="106">
      <c r="A106" s="3" t="inlineStr">
        <is>
          <t xml:space="preserve">R34</t>
        </is>
      </c>
      <c r="B106" s="14">
        <v>141</v>
      </c>
      <c r="C106" s="14">
        <v>-81.734702</v>
      </c>
      <c r="D106" s="3" t="inlineStr">
        <is>
          <t xml:space="preserve">Top</t>
        </is>
      </c>
      <c r="E106" s="7">
        <v>90</v>
      </c>
      <c r="F106" s="3" t="inlineStr">
        <is>
          <t xml:space="preserve">0.5 Ohm</t>
        </is>
      </c>
      <c r="G106" s="3" t="inlineStr">
        <is>
          <t xml:space="preserve">R_0805_2012Metric</t>
        </is>
      </c>
    </row>
    <row r="107">
      <c r="A107" s="2" t="inlineStr">
        <is>
          <t xml:space="preserve">R35</t>
        </is>
      </c>
      <c r="B107" s="13">
        <v>129.6475</v>
      </c>
      <c r="C107" s="13">
        <v>-88.35</v>
      </c>
      <c r="D107" s="2" t="inlineStr">
        <is>
          <t xml:space="preserve">Top</t>
        </is>
      </c>
      <c r="E107" s="6">
        <v>180</v>
      </c>
      <c r="F107" s="2" t="inlineStr">
        <is>
          <t xml:space="preserve">10K Ohm</t>
        </is>
      </c>
      <c r="G107" s="2" t="inlineStr">
        <is>
          <t xml:space="preserve">R_0805_2012Metric</t>
        </is>
      </c>
    </row>
    <row r="108">
      <c r="A108" s="3" t="inlineStr">
        <is>
          <t xml:space="preserve">R36</t>
        </is>
      </c>
      <c r="B108" s="14">
        <v>138.5</v>
      </c>
      <c r="C108" s="14">
        <v>-81.734702</v>
      </c>
      <c r="D108" s="3" t="inlineStr">
        <is>
          <t xml:space="preserve">Top</t>
        </is>
      </c>
      <c r="E108" s="7">
        <v>90</v>
      </c>
      <c r="F108" s="3" t="inlineStr">
        <is>
          <t xml:space="preserve">162k Ohms</t>
        </is>
      </c>
      <c r="G108" s="3" t="inlineStr">
        <is>
          <t xml:space="preserve">R_0805_2012Metric</t>
        </is>
      </c>
    </row>
    <row r="109">
      <c r="A109" s="2" t="inlineStr">
        <is>
          <t xml:space="preserve">R37</t>
        </is>
      </c>
      <c r="B109" s="13">
        <v>134.9575</v>
      </c>
      <c r="C109" s="13">
        <v>-79.017327</v>
      </c>
      <c r="D109" s="2" t="inlineStr">
        <is>
          <t xml:space="preserve">Top</t>
        </is>
      </c>
      <c r="E109" s="6">
        <v>0</v>
      </c>
      <c r="F109" s="2" t="inlineStr">
        <is>
          <t xml:space="preserve">30k Ohms</t>
        </is>
      </c>
      <c r="G109" s="2" t="inlineStr">
        <is>
          <t xml:space="preserve">R_0805_2012Metric</t>
        </is>
      </c>
    </row>
    <row r="110">
      <c r="A110" s="3" t="inlineStr">
        <is>
          <t xml:space="preserve">R38</t>
        </is>
      </c>
      <c r="B110" s="14">
        <v>141.975</v>
      </c>
      <c r="C110" s="14">
        <v>-106.3375</v>
      </c>
      <c r="D110" s="3" t="inlineStr">
        <is>
          <t xml:space="preserve">Top</t>
        </is>
      </c>
      <c r="E110" s="7">
        <v>90</v>
      </c>
      <c r="F110" s="3" t="inlineStr">
        <is>
          <t xml:space="preserve">200 Ohm</t>
        </is>
      </c>
      <c r="G110" s="3" t="inlineStr">
        <is>
          <t xml:space="preserve">R_0805_2012Metric</t>
        </is>
      </c>
    </row>
    <row r="111">
      <c r="A111" s="2" t="inlineStr">
        <is>
          <t xml:space="preserve">U1</t>
        </is>
      </c>
      <c r="B111" s="13">
        <v>138.75</v>
      </c>
      <c r="C111" s="13">
        <v>-97.29</v>
      </c>
      <c r="D111" s="2" t="inlineStr">
        <is>
          <t xml:space="preserve">Top</t>
        </is>
      </c>
      <c r="E111" s="6">
        <v>270</v>
      </c>
      <c r="F111" s="2" t="inlineStr">
        <is>
          <t xml:space="preserve">DRV8300DRGER-JSM</t>
        </is>
      </c>
      <c r="G111" s="2" t="inlineStr">
        <is>
          <t xml:space="preserve">QFN-24_L4.0-W4.0-P0.50-BL-EP2.7</t>
        </is>
      </c>
    </row>
    <row r="112">
      <c r="A112" s="3" t="inlineStr">
        <is>
          <t xml:space="preserve">U5</t>
        </is>
      </c>
      <c r="B112" s="14">
        <v>125.4</v>
      </c>
      <c r="C112" s="14">
        <v>-105.557202</v>
      </c>
      <c r="D112" s="3" t="inlineStr">
        <is>
          <t xml:space="preserve">Top</t>
        </is>
      </c>
      <c r="E112" s="7">
        <v>90</v>
      </c>
      <c r="F112" s="3" t="inlineStr">
        <is>
          <t xml:space="preserve">TPS54202DDCR</t>
        </is>
      </c>
      <c r="G112" s="3" t="inlineStr">
        <is>
          <t xml:space="preserve">SOT-23-6_L2.9-W1.6-P0.95-LS2.8-BL</t>
        </is>
      </c>
    </row>
    <row r="113">
      <c r="A113" s="2" t="inlineStr">
        <is>
          <t xml:space="preserve">U7</t>
        </is>
      </c>
      <c r="B113" s="13">
        <v>132.5025</v>
      </c>
      <c r="C113" s="13">
        <v>-83.6</v>
      </c>
      <c r="D113" s="2" t="inlineStr">
        <is>
          <t xml:space="preserve">Top</t>
        </is>
      </c>
      <c r="E113" s="6">
        <v>0</v>
      </c>
      <c r="F113" s="2" t="inlineStr">
        <is>
          <t xml:space="preserve">BA00BC0WFP-E2</t>
        </is>
      </c>
      <c r="G113" s="2" t="inlineStr">
        <is>
          <t xml:space="preserve">TO-252-5_L6.5-W5.5-P1.30-LS10.0-BR</t>
        </is>
      </c>
    </row>
    <row r="114">
      <c r="A114" s="3" t="inlineStr">
        <is>
          <t xml:space="preserve">U8</t>
        </is>
      </c>
      <c r="B114" s="14">
        <v>144.215</v>
      </c>
      <c r="C114" s="14">
        <v>-113.325</v>
      </c>
      <c r="D114" s="3" t="inlineStr">
        <is>
          <t xml:space="preserve">Top</t>
        </is>
      </c>
      <c r="E114" s="7">
        <v>180</v>
      </c>
      <c r="F114" s="3" t="inlineStr">
        <is>
          <t xml:space="preserve">2.54-1*4</t>
        </is>
      </c>
      <c r="G114" s="3" t="inlineStr">
        <is>
          <t xml:space="preserve">HDR-TH_4P-P2.54-V-M-1</t>
        </is>
      </c>
    </row>
  </sheetData>
  <autoFilter ref="A4:G114"/>
  <mergeCells count="2">
    <mergeCell ref="A1:G1"/>
    <mergeCell ref="A2:G2"/>
  </mergeCells>
  <printOptions horizontalCentered="1"/>
  <pageMargins left="0.4" right="0.4" top="0.5" bottom="0.7" header="0.3" footer="0.3"/>
  <pageSetup paperSize="9" orientation="landscape" fitToWidth="1" fitToHeight="0"/>
  <headerFooter>
    <oddFooter>&amp;L&amp;8BLDCdriver  ·  Rev C  ·  2026-10-09 14:05&amp;C&amp;8&amp;A&amp;R&amp;8Sayfa &amp;P / &amp;N</oddFooter>
  </headerFooter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BLDCdriver üretim dosyası</dc:title>
  <dc:subject>BOM, CPL ve sipariş özeti</dc:subject>
  <dc:creator>Aykut Gencer Karaca</dc:creator>
  <cp:keywords>BLDCdriver, Rev C, JLCPCB</cp:keywords>
  <cp:lastModifiedBy>KiCad DRC Ayarlayıcı</cp:lastModifiedBy>
  <dcterms:created xsi:type="dcterms:W3CDTF">2026-10-09T11:05:27Z</dcterms:created>
</cp:coreProperties>
</file>